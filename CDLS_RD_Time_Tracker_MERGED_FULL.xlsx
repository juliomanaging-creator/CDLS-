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 - R&amp;D Tracker" sheetId="1" r:id="rId5"/>
    <sheet state="visible" name="Project Codes" sheetId="2" r:id="rId6"/>
    <sheet state="visible" name="Four-Part Test Guide" sheetId="3" r:id="rId7"/>
    <sheet state="visible" name="Qualified vs Non-Qualified" sheetId="4" r:id="rId8"/>
    <sheet state="visible" name="Retroactive Documentation" sheetId="5" r:id="rId9"/>
    <sheet state="visible" name="Instructions &amp; Legal Basis" sheetId="6" r:id="rId10"/>
    <sheet state="visible" name="Hour Breakdown" sheetId="7" r:id="rId11"/>
    <sheet state="visible" name="Summary Dashboard" sheetId="8" r:id="rId12"/>
  </sheets>
  <definedNames/>
  <calcPr/>
</workbook>
</file>

<file path=xl/sharedStrings.xml><?xml version="1.0" encoding="utf-8"?>
<sst xmlns="http://schemas.openxmlformats.org/spreadsheetml/2006/main" count="744" uniqueCount="526">
  <si>
    <t>R&amp;D PROJECT CODES REFERENCE</t>
  </si>
  <si>
    <t>CDLS PLATFORM - R&amp;D TAX CREDIT TIME TRACKER</t>
  </si>
  <si>
    <t>Project Code</t>
  </si>
  <si>
    <t>Project Name</t>
  </si>
  <si>
    <t>Description</t>
  </si>
  <si>
    <t>Employee: Julio Umanzor | Role: Founder/Managing Partner (R&amp;D Focus)</t>
  </si>
  <si>
    <t>Budget Hours (Year 1)</t>
  </si>
  <si>
    <t>AI-001</t>
  </si>
  <si>
    <t>R&amp;D TAX CREDIT: FOUR-PART TEST REQUIREMENTS</t>
  </si>
  <si>
    <t>AI Route Optimization</t>
  </si>
  <si>
    <t>Machine learning algorithms for optimal haul routing</t>
  </si>
  <si>
    <t>QUALIFIED vs NON-QUALIFIED R&amp;D ACTIVITIES</t>
  </si>
  <si>
    <t>AI-002</t>
  </si>
  <si>
    <t>Load Balancing Algorithm</t>
  </si>
  <si>
    <t>Dynamic load distribution across fleet based on capacity/location</t>
  </si>
  <si>
    <t>BLOCKCHAIN-001</t>
  </si>
  <si>
    <t>Carbon Credit Automation</t>
  </si>
  <si>
    <t>CRITICAL: Must be completed CONTEMPORANEOUSLY (same day as work performed)</t>
  </si>
  <si>
    <t>Smart contracts for automated LCFS credit minting</t>
  </si>
  <si>
    <t>BLOCKCHAIN-002</t>
  </si>
  <si>
    <t>Token Ecosystem</t>
  </si>
  <si>
    <t>Development of $CDLS, $HAUL, $CARBON tokenomics</t>
  </si>
  <si>
    <t>FLEET-001</t>
  </si>
  <si>
    <t>Fleet Management Dashboard</t>
  </si>
  <si>
    <t>Real-time tracking, predictive maintenance, battery optimization</t>
  </si>
  <si>
    <t>Test Component</t>
  </si>
  <si>
    <t>QUALIFIED ACTIVITIES (Include in tracker)</t>
  </si>
  <si>
    <t>FLEET-002</t>
  </si>
  <si>
    <t>Tesla Semi Integration</t>
  </si>
  <si>
    <t>NON-QUALIFIED ACTIVITIES (Exclude from tracker)</t>
  </si>
  <si>
    <t>Requirement</t>
  </si>
  <si>
    <t>API integration with Tesla telemetry and charging systems</t>
  </si>
  <si>
    <t>CDLS Examples</t>
  </si>
  <si>
    <t>DEALER-001</t>
  </si>
  <si>
    <t>Dealer Dashboard</t>
  </si>
  <si>
    <t>Automated reporting, ACF compliance, carbon credit tracking</t>
  </si>
  <si>
    <t>✓ Developing algorithms (ML, optimization, etc.)</t>
  </si>
  <si>
    <t>DEALER-002</t>
  </si>
  <si>
    <t>1. TECHNOLOGICAL IN NATURE</t>
  </si>
  <si>
    <t>DMS Integration</t>
  </si>
  <si>
    <t>✗ General business planning</t>
  </si>
  <si>
    <t>Integration with CDK, Reynolds &amp; Reynolds, Dealertrack systems</t>
  </si>
  <si>
    <t>Date</t>
  </si>
  <si>
    <t>✓ Writing code for new features/functionality</t>
  </si>
  <si>
    <t>COMPLIANCE-001</t>
  </si>
  <si>
    <t>CARB Automation</t>
  </si>
  <si>
    <t>✗ Marketing &amp; sales activities</t>
  </si>
  <si>
    <t>Automated ACF quarterly reporting to CARB</t>
  </si>
  <si>
    <t>Activity Description</t>
  </si>
  <si>
    <t>COMPLIANCE-002</t>
  </si>
  <si>
    <t>✓ Testing and debugging complex systems</t>
  </si>
  <si>
    <t>LCFS Credit Calculation</t>
  </si>
  <si>
    <t>Automated calculation of carbon credits per haul</t>
  </si>
  <si>
    <t>✗ Routine data entry or admin tasks</t>
  </si>
  <si>
    <t>Hours</t>
  </si>
  <si>
    <t>Activity must rely on principles of computer science, engineering, physics, chemistry, biology, or similar field</t>
  </si>
  <si>
    <t>AI route optimization uses machine learning (computer science); Blockchain smart contracts use cryptography; Fleet management uses software engineering</t>
  </si>
  <si>
    <t>Four-Part Test Met?</t>
  </si>
  <si>
    <t>✓ Designing databases or system architecture</t>
  </si>
  <si>
    <t>2. ELIMINATE TECHNICAL UNCERTAINTY</t>
  </si>
  <si>
    <t>Technical Uncertainty</t>
  </si>
  <si>
    <t>✗ Meeting with investors/dealers (non-technical)</t>
  </si>
  <si>
    <t>Outcome must not be known in advance. Developer faces uncertainty about capability, methodology, or appropriate design</t>
  </si>
  <si>
    <t>Experimentation Method</t>
  </si>
  <si>
    <t>Unknown: Will ML model achieve &lt;10% error rate? Unknown: Can CARB API support real-time blockchain integration? Unknown: Accuracy of battery degradation prediction under 9-vehicle loads</t>
  </si>
  <si>
    <t>Supervisor Approval</t>
  </si>
  <si>
    <t>3. PROCESS OF EXPERIMENTATION</t>
  </si>
  <si>
    <t>✓ API integration (when methodology uncertain)</t>
  </si>
  <si>
    <t>Must use systematic trial-and-error, modeling, simulation, or other method to evaluate alternatives</t>
  </si>
  <si>
    <t>✗ Routine software maintenance</t>
  </si>
  <si>
    <t>A/B testing multiple ML models; Iterative smart contract development; Statistical modeling of battery degradation; Prototype testing with pilot dealers</t>
  </si>
  <si>
    <t>4. BUSINESS COMPONENT</t>
  </si>
  <si>
    <t>✓ Prototyping and iterative development</t>
  </si>
  <si>
    <t>2025-10-15</t>
  </si>
  <si>
    <t>Must improve function, performance, reliability, or quality of a product, process, software, technique, formula, or invention</t>
  </si>
  <si>
    <t>✗ User training or documentation</t>
  </si>
  <si>
    <t>Improved function: Faster route optimization; Improved performance: Real-time vs batch processing; Improved reliability: 99.9% uptime for tracking; Improved quality: &lt;2% error rate in carbon calculations</t>
  </si>
  <si>
    <t>✓ Performance optimization (uncertain outcome)</t>
  </si>
  <si>
    <t>✗ Legal or accounting work</t>
  </si>
  <si>
    <t>✓ Statistical modeling and data analysis</t>
  </si>
  <si>
    <t>✗ Fundraising activities</t>
  </si>
  <si>
    <t>✓ Technical research (reading papers, testing)</t>
  </si>
  <si>
    <t>✗ Hiring or HR activities</t>
  </si>
  <si>
    <t>✓ Code review of experimental features</t>
  </si>
  <si>
    <t>✗ Routine email and communication</t>
  </si>
  <si>
    <t>AI Route Optimization — ML Model Selection &amp; Validation</t>
  </si>
  <si>
    <t>Literature review of ML routing methods (1.0h) · Dataset preparation and cleaning (1.5h) · Implementation of 3 model variants: linear, polynomial, neural network (2.0h) · A/B comparative testing and accuracy benchmarking (2.0h)</t>
  </si>
  <si>
    <t>YES</t>
  </si>
  <si>
    <t>Uncertain which ML model would achieve &lt;10% error rate for route prediction across variable traffic conditions</t>
  </si>
  <si>
    <t>A/B testing: compared 3 models using historical traffic data; measured prediction accuracy and computation time</t>
  </si>
  <si>
    <t>Self (Founder)</t>
  </si>
  <si>
    <t>2025-10-16</t>
  </si>
  <si>
    <t>Carbon Credit Automation — Smart Contract Architecture &amp; CARB API Integration</t>
  </si>
  <si>
    <t>CARB LCFS regulation review (1.0h) · Smart contract schema design (2.0h) · API endpoint prototype coding (2.0h) · Rate-limit stress testing and latency measurement (2.0h)</t>
  </si>
  <si>
    <t>Unknown whether CARB legacy systems could interface with blockchain via API calls without manual intervention</t>
  </si>
  <si>
    <t>Iterative testing: built 3 prototype contracts, tested API integration, refined based on CARB response times</t>
  </si>
  <si>
    <t>2025-10-17</t>
  </si>
  <si>
    <t>Fleet Management Dashboard — Tesla Semi Telemetry &amp; Predictive Maintenance</t>
  </si>
  <si>
    <t>Tesla API exploration and integration (2.0h) · Degradation dataset collection and preprocessing (2.0h) · Regression model for battery health prediction (2.5h) · Dashboard UI prototype (1.5h)</t>
  </si>
  <si>
    <t>Battery degradation prediction accuracy for Tesla Semi under 9-vehicle hauling loads not established in industry literature</t>
  </si>
  <si>
    <t>Statistical modeling: collected Semi beta fleet data, applied regression analysis, validated predictions vs actual degradation</t>
  </si>
  <si>
    <t>2025-10-18</t>
  </si>
  <si>
    <t>JUDAS AI Integrity Kernel — Zero-Knowledge Proof Architecture Design</t>
  </si>
  <si>
    <t>ZKP scheme comparative research — zk-SNARKs vs Pedersen vs dual-SHA-256 (2.5h) · Cryptographic commitment schema drafting (2.0h) · PoC hash pipeline coding (2.0h) · Collision probability &amp; latency benchmarking on 20 synthetic freight images (1.0h)</t>
  </si>
  <si>
    <t>Uncertain whether dual-hash commitment scheme could provide court-admissible non-repudiation for freight disputes without full image disclosure, and whether SHA-256 collision resistance satisfied GAGAS audit standards.</t>
  </si>
  <si>
    <t>Comparative protocol review of 3 ZKP schemes; PoC hash pipeline benchmarked against 20 synthetic freight images for collision probability and latency.</t>
  </si>
  <si>
    <t>2025-10-19</t>
  </si>
  <si>
    <t>JUDAS AI — Computer Vision Damage Detection Model Prototype</t>
  </si>
  <si>
    <t>Pre-trained model evaluation: YOLO v8 vs ResNet-50 (2.0h) · Bounding-box annotation pipeline (2.0h) · OpenCV preprocessing integration (1.0h) · Precision/recall benchmarking at 0.5 IoU under 3 lighting conditions (3.0h)</t>
  </si>
  <si>
    <t>Uncertain whether pre-trained COCO weights would transfer to automotive freight damage detection with &lt;5% false-negative rate under variable lot lighting (dawn, dusk, overcast), or whether domain-specific fine-tuning was required.</t>
  </si>
  <si>
    <t>A/B model comparison: YOLO v8 vs. ResNet-50 fine-tuned on 500 synthetic damage images; precision/recall at 0.5 IoU under 3 simulated lighting conditions.</t>
  </si>
  <si>
    <t>2025-10-20</t>
  </si>
  <si>
    <t>Dealer Dashboard &amp; ACF Compliance Reporting — CARB API Automation Prototype</t>
  </si>
  <si>
    <t>CARB reporting schema analysis (1.0h) · Dashboard wireframe and build (2.0h) · API integration prototype (1.5h) · 3-iteration testing and refinement with pilot dealer (1.0h)</t>
  </si>
  <si>
    <t>Automation of ACF quarterly reports to meet CARB deadlines without human intervention was technically uncertain</t>
  </si>
  <si>
    <t>Prototype testing: 3 iterations, tested with sample data, refined automation logic, beta tested with pilot dealer</t>
  </si>
  <si>
    <t>2025-12-10</t>
  </si>
  <si>
    <t>MagSafe Quick-Disconnect Battery Pod System — Mechanical &amp; Electrical Design</t>
  </si>
  <si>
    <t>Magnetic coupling force analysis and material selection — N52 NdFeB vs electromagnet vs hybrid (2.5h) · Spring-loaded cable retraction spec (2.0h) · Arc-fault detection interlock modeling (2.0h) · Thermal cycling material evaluation −10°F to 115°F (2.5h)</t>
  </si>
  <si>
    <t>Uncertain whether magnetic coupling force sufficient for road-vibration retention could be achieved without exceeding foot-pedal release ergonomic limits (&lt;25 lb), and whether spring-loaded retraction could survive 3,000+ daily cycles without cable jacket fatigue.</t>
  </si>
  <si>
    <t>Iterative CAD force simulation: 3 magnet array configurations tested against pull-force and ergonomics targets; fatigue cycle modeling on cable jacket cross-sections.</t>
  </si>
  <si>
    <t>2025-12-15</t>
  </si>
  <si>
    <t>MagSafe Quick-Disconnect — USPTO Provisional Patent #63/734829 Drafting</t>
  </si>
  <si>
    <t>Prior-art search: 400+ patents across IPC H01R, B60L, H02J (4.0h) · Independent claims drafting — 3 scope iterations (3.5h) · Technical drawing preparation (2.0h) · Enablement specification authoring (1.5h)</t>
  </si>
  <si>
    <t>Uncertain whether claim scope covering both permanent-magnet and electromagnet embodiments would survive prior-art rejection given Tesla supercharger coupling patents, and whether the misalignment-tolerance claim was novel vs. existing industrial connector standards.</t>
  </si>
  <si>
    <t>Prior-art search across 400+ patents; 3 iterative claim scope revisions to balance breadth vs. patentability.</t>
  </si>
  <si>
    <t>2026-01-20</t>
  </si>
  <si>
    <t>Rule 42.1 Dynamic Payload Range Engine — Temperature/Load Derating Model</t>
  </si>
  <si>
    <t>LFP cell thermal characteristics literature review (4.0h) · Derating equation formulation and parameterization (8.0h) · Regression model coding for degradation tracking under hauling loads (12.0h) · 38°F winter derating validation (8.0h) · Iterative refinement (8.0h)</t>
  </si>
  <si>
    <t>Uncertain how external temperature and heavy payload loads dynamically degrade range in real-time dispatch</t>
  </si>
  <si>
    <t>Iterative mathematical modeling against ambient parameters (38°F winter derating); regression tracking against actual fleet data</t>
  </si>
  <si>
    <t>2026-01-21</t>
  </si>
  <si>
    <t>CARB CTC &amp; TRUCRS Automated API Handshake — VIN/Serial Cross-Query Engine</t>
  </si>
  <si>
    <t>CARB API endpoint mapping (3.0h) · VIN parsing and validation pipeline (4.0h) · High-volume query prototype (5.0h) · Transaction-limit stress testing and fallback logic (6.0h) · Latency validation against simulated endpoints (4.5h)</t>
  </si>
  <si>
    <t>Uncertain if existing API endpoints could reliably process high-volume serial queries without transaction limits blocking route clearances</t>
  </si>
  <si>
    <t>Prototype integration and latency testing against simulated CARB database endpoints; fallback logic stress-tested</t>
  </si>
  <si>
    <t>2026-01-22</t>
  </si>
  <si>
    <t>Tier 1 DEK Credential Isolation Store — Multi-Tenant Encryption Architecture</t>
  </si>
  <si>
    <t>Threat modeling and key-rotation schema design (5.0h) · DEK isolation model implementation (8.0h) · Fallback gating logic (5.0h) · Encryption overhead simulation and systematic unit testing (10.0h)</t>
  </si>
  <si>
    <t>Design uncertainty regarding cryptographic key rotation vs database latency requirements in a multi-tenant environment</t>
  </si>
  <si>
    <t>Simulation of encryption overhead on query execution time and systematic unit testing</t>
  </si>
  <si>
    <t>2026-01-23</t>
  </si>
  <si>
    <t>Portable Battery Pod Trailer — 360 kWh Electrical System Architecture</t>
  </si>
  <si>
    <t>EcoFlow DELTA Pro Ultra stack configuration analysis (2.0h) · DC bus and 400V pack voltage specification (2.0h) · BMS integration design — cell balancing, thermal mgmt (2.0h) · Bidirectional inverter spec 38.4 kW V2G (1.5h) · LFP DoD degradation curve modeling 80% vs 90% (1.0h)</t>
  </si>
  <si>
    <t>Uncertain whether LFP cells in a 120-unit parallel string could achieve balanced state-of-charge during high-rate V2G discharge (38.4 kW for 5.8 hrs), and whether 80% DoD was sufficient to meet SMUD ELRP requirements while preserving 3,000-cycle lifespan.</t>
  </si>
  <si>
    <t>Electrochemical modeling: 3,000-cycle degradation at 80% vs. 90% DoD using EcoFlow cell data; cell-balancing algorithm validated on 10-unit prototype.</t>
  </si>
  <si>
    <t>2026-01-24</t>
  </si>
  <si>
    <t>V2G Bidirectional Charging — IEEE 15118-20 Protocol Stack &amp; Grid Interconnection Engineering</t>
  </si>
  <si>
    <t>Standards review: IEEE 15118-20, UL 9741, IEEE 1547-2018 (2.0h) · Communication stack implementation (3.0h) · Anti-islanding protection relay design (2.0h) · SMUD interconnection application package (2.0h)</t>
  </si>
  <si>
    <t>Uncertain whether IEEE 15118-20 PLC communication stack could operate reliably on a mobile trailer (variable grounding, cable length variation) without fixed utility interconnect, and whether SMUD interconnection would require a site-specific study per dealer location.</t>
  </si>
  <si>
    <t>Protocol simulation across 5 cable configs (10–50 ft, varying grounding resistance); anti-islanding detection response time benchmarked vs. CAISO trip-time requirements.</t>
  </si>
  <si>
    <t>2026-01-25</t>
  </si>
  <si>
    <t>MCMC Financial Projection Engine — Monte Carlo Revenue Sensitivity Model (10,000 iterations)</t>
  </si>
  <si>
    <t>Stochastic variable definition and distribution parameterization (2.0h) · Monte Carlo engine coding (3.0h) · Cholesky decomposition for correlated variable sampling (2.0h) · Convergence testing at 1K/5K/10K/50K iterations (3.0h)</t>
  </si>
  <si>
    <t>Uncertain whether 10,000 Monte Carlo iterations would produce stable P10/P90 confidence intervals for a 10-year projection with 4 correlated stochastic variables (dealer adoption correlated with V2G events; battery degradation correlated with V2G discharge frequency).</t>
  </si>
  <si>
    <t>Convergence testing at 1K/5K/10K/50K iterations; Cholesky decomposition for correlated sampling; P10/P90 interval stability measured.</t>
  </si>
  <si>
    <t>2026-01-26</t>
  </si>
  <si>
    <t>IP Valuation Engine — Relief-from-Royalty &amp; Market Comparables Methodology</t>
  </si>
  <si>
    <t>12 comparable patent licensing deals research — EV/charging sector 2020-2025 (3.0h) · Relief-from-royalty model build for MagSafe patent (2.0h) · Market-comparables model for JUDAS AI — 8 freight-audit SaaS acquisitions reviewed (2.0h) · Sensitivity analysis: royalty rates / TAM penetration / discount rates (1.0h)</t>
  </si>
  <si>
    <t>Uncertain whether IEEE industry-standard 4% royalty rate was appropriate for a software-hardware hybrid system like MagSafe, and whether 3% SaaS market penetration for JUDAS AI was achievable given incumbent freight-audit provider switching costs.</t>
  </si>
  <si>
    <t>Comparable transaction analysis: 12 patent licensing deals for royalty benchmarking; 8 freight-audit SaaS acquisitions for market-share and multiple validation.</t>
  </si>
  <si>
    <t>2026-01-27</t>
  </si>
  <si>
    <t>Sacramento Pilot Simulation — 50-Trailer V2G Dispatch Discrete-Event Model (10,000 runs)</t>
  </si>
  <si>
    <t>Simulation architecture and state-machine design (2.0h) · Stochastic variable definition and Monte Carlo engine integration (2.0h) · 10,000-day simulation execution and depot throughput analysis (2.0h) · Staggered-charging schedule optimization within 900A constraint (1.5h)</t>
  </si>
  <si>
    <t>Uncertain whether a single Sacramento depot (900A service) could sustain 95% utilization for 50 trailers given simultaneous morning recharge demand, and whether SMUD ELRP dispatch would conflict with mid-day charging during extended heat events.</t>
  </si>
  <si>
    <t>Monte Carlo discrete-event simulation: 10,000 pilot-day runs with stochastic ELRP events and dealer demand; identified optimal staggered-charging schedule.</t>
  </si>
  <si>
    <t>2026-01-28</t>
  </si>
  <si>
    <t>M&amp;A Roll-Up Analytics Engine — Synergy Quantification &amp; Acquisition Valuation Framework</t>
  </si>
  <si>
    <t>Synergy category framework design (2.0h) · Per-target financial model coding — 7 targets (3.0h) · HVIP rebate and EV conversion cost modeling (1.5h) · V2G cross-sell adoption sensitivity analysis (1.5h) · IRR/NPV/payback calculation and validation (1.0h)</t>
  </si>
  <si>
    <t>Uncertain whether post-acquisition V2G cross-sell adoption among inherited dealer customers (30–50% target within 90 days) would differ from cold-acquisition rates, and whether depot consolidation savings were achievable within 90-day integration window given lease-break clauses.</t>
  </si>
  <si>
    <t>3 integration-speed scenarios (6/12/18-month synergy realization) across 7 targets; IRR sensitivity tested; V2G cross-sell assumption validated against pilot adoption data.</t>
  </si>
  <si>
    <t>2026-01-29</t>
  </si>
  <si>
    <t>MCMC Route Optimization Simulation Prototype — Metropolis-Hastings Convergence Engine</t>
  </si>
  <si>
    <t>Metropolis-Hastings sampler implementation (3.0h) · Acceptance-probability parameter tuning (2.0h) · Convergence tracking and visualization build (2.0h) · Sampler stability validation (1.0h)</t>
  </si>
  <si>
    <t>Uncertain whether a Metropolis-Hastings MCMC sampler could reliably converge on near-optimal route configurations from randomized proposals within a practical iteration budget.</t>
  </si>
  <si>
    <t>Iterative Monte Carlo simulation with acceptance-probability tuning; tracked best-route convergence across iterations to validate sampler stability.</t>
  </si>
  <si>
    <t>2026-01-30</t>
  </si>
  <si>
    <t>MCMC Grid Event Prediction Engine — CAISO 10-Year Historical Dataset Calibration (2016-2025)</t>
  </si>
  <si>
    <t>Data quality pipeline: IQR outlier removal + STL seasonal decomposition (3.0h) · NOAA temperature-correlation regression build R²=0.89 (3.0h) · Markov transition matrix calibration on cleaned event sequences (3.0h) · Walk-forward validation on rolling 7-year windows (3.0h)</t>
  </si>
  <si>
    <t>Uncertain whether 10 years of historical grid events contained sufficient non-stationary signal (accelerating renewable penetration, EV load growth) to calibrate Markov transition matrices valid for 2026+ dispatch without overfitting to the 2016–2019 pre-renewable-ramp regime.</t>
  </si>
  <si>
    <t>Walk-forward validation: Markov matrices trained on rolling 7-year window, tested on held-out Years 8-10; compared full-history vs. recent-5-year calibration window accuracy.</t>
  </si>
  <si>
    <t>2026-01-31</t>
  </si>
  <si>
    <t>MCMC Engine — Bayesian Real-Time Update Layer &amp; V2G Bid-Window Optimizer</t>
  </si>
  <si>
    <t>Bayesian update layer design and hourly recalibration coding (3.0h) · CAISO Day-Ahead bid submission API integration (2.5h) · SMUD ELRP automated dispatch API integration (2.5h) · Latency and dispatch accuracy benchmarking: replayed 52 ELRP 2025 events (2.0h)</t>
  </si>
  <si>
    <t>Uncertain whether Bayesian update frequency (hourly vs. 15-minute) would materially improve bid-window accuracy given CAISO Day-Ahead market closure at 10 AM, and whether automated ELRP dispatch could consistently respond within 30-minute requirement across all trailer locations.</t>
  </si>
  <si>
    <t>Replayed 52 ELRP 2025 events through automated dispatch system; compared latency under 15-min vs. hourly Bayesian update cycles; measured incremental revenue impact.</t>
  </si>
  <si>
    <t>2026-02-01</t>
  </si>
  <si>
    <t>National Pulse Agent — Multi-Source Grid Intelligence Aggregator (Asyncio + Redis pub/sub)</t>
  </si>
  <si>
    <t>Event-driven architecture design for CAISO OASIS + NOAA + SMUD ELRP + EcoFlow API synthesis (2.0h) · Asyncio + Redis pub/sub implementation — &lt;5 sec dispatch target (3.0h) · Dead-letter queue for failed API responses (1.5h) · Chaos engineering: synthetic API outage injection and fallback testing (3.0h)</t>
  </si>
  <si>
    <t>Uncertain whether heterogeneous API polling intervals (CAISO 5-min, NOAA 1-hr, SMUD event-driven) could be unified into a coherent real-time signal without stale-data artifacts causing incorrect dispatch decisions during grid emergency windows.</t>
  </si>
  <si>
    <t>Chaos engineering: injected synthetic API outages (CAISO 15 min, NOAA 3 hr stale); iterated fallback logic to maintain &gt;95% dispatch accuracy under single-API failure.</t>
  </si>
  <si>
    <t>2026-02-20</t>
  </si>
  <si>
    <t>CDLS Platform 2.0 Agent Architecture Merge — CDLS Core + CESAR 8-Agent Reconciliation</t>
  </si>
  <si>
    <t>Comparative architecture review of CDLS core agents and CESAR agents (2.0h) · Data contract and interface mapping across 14 conflict points (2.0h) · Schema conflict identification and resolution (1.5h) · Iterative schema reconciliation (1.0h)</t>
  </si>
  <si>
    <t>Uncertain whether two independently designed multi-agent architectures could be reconciled into a single data/interface contract without conflicting schemas or duplicated responsibilities.</t>
  </si>
  <si>
    <t>Comparative architectural review and interface mapping across both agent sets; iterative schema reconciliation.</t>
  </si>
  <si>
    <t>2026-02-21</t>
  </si>
  <si>
    <t>APLRE — A/B Human-Centric Behavioral Stabilization Layer Design &amp; Controlled Trial</t>
  </si>
  <si>
    <t>Hash-based deterministic variant-assignment engine (2.0h) · Behavioral variance category taxonomy: HOS, fuel-stop prefs, congestion windows (1.5h) · Variance-injection pipeline implementation (2.5h) · 4-week controlled trial design across 6 pilot dealers — 3 route variants (2.0h)</t>
  </si>
  <si>
    <t>Uncertain whether deterministic hash-based A/B assignment could prevent selection bias when drivers self-select preferred route variants, and whether reintroduced human-centric variance (HOS, fuel-stop preferences) would improve or degrade MCMC route-quality metrics.</t>
  </si>
  <si>
    <t>Controlled trial: 3 variants (MCMC-only, MCMC+HOS, MCMC+full human-centric) on 6 pilot dealers over 4 weeks; measured on-time delivery rate, cost-per-mile, and driver satisfaction per variant.</t>
  </si>
  <si>
    <t>2026-02-22</t>
  </si>
  <si>
    <t>CDLS Platform 2.0 — Unified Agent Schema Registry &amp; Event-Sourcing Pattern</t>
  </si>
  <si>
    <t>Pydantic v2 validation layer design and implementation (2.5h) · Event-sourcing append-only audit log architecture (2.0h) · Redis queue load simulation: 500 trailers × 5 events/min (1.5h) · Causal ordering consistency testing (1.5h)</t>
  </si>
  <si>
    <t>Uncertain whether event-sourcing with append-only logs could maintain causal ordering across 8 asynchronous agents via Redis pub/sub without unbounded latency at high-throughput dispatch scenarios (500 trailers × 5 events/min).</t>
  </si>
  <si>
    <t>Load simulation: synthetic 500-trailer event stream through unified schema registry; measured schema validation latency, event ordering consistency, Redis queue depth under peak dispatch.</t>
  </si>
  <si>
    <t>RETROACTIVE R&amp;D DOCUMENTATION FOR PRE-INCORPORATION WORK</t>
  </si>
  <si>
    <t>2026-03-06</t>
  </si>
  <si>
    <t>MCMC + Regression Route Optimization — Full Pipeline Formalization &amp; CESAR Rollout Plan</t>
  </si>
  <si>
    <t>LASSO regularization parameter tuning (2.0h) · Regression coefficient validation against held-out haul data (2.0h) · MCMC convergence benchmarking on regression residuals vs. raw data — 10,000 iterations (3.0h) · CESAR agent rollout plan authoring (3.0h)</t>
  </si>
  <si>
    <t>Uncertain whether LASSO-regularized OLS regression could isolate structural route-cost signal from 10 years of noisy haul data (wildfires, port closures, COVID anomalies) without discarding legitimate seasonal variance, and whether the cleaned distribution would improve MCMC convergence.</t>
  </si>
  <si>
    <t>Regression coefficient testing against held-out historical data; MCMC convergence benchmarking (10,000 iterations) on regression residuals versus raw data.</t>
  </si>
  <si>
    <t>Can Julio claim R&amp;D credits for work done BEFORE C-Corp formation?</t>
  </si>
  <si>
    <t>2026-03-27</t>
  </si>
  <si>
    <t>CESAR Adaptive Route Intelligence (CARI) Layer — Three-Layer Adaptive Intelligence Stack</t>
  </si>
  <si>
    <t>Three-layer stack architectural prototyping — regression foundation, MCMC, A/B testing (3.0h) · Controlled variance-injection test suite build (2.5h) · Component-level A/B testing for signal quality measurement (2.0h)</t>
  </si>
  <si>
    <t>Uncertain how to selectively reintroduce only operationally-relevant variance (weather windows, driver HOS limits) into a denoised regression signal without reintroducing noise the regression step was designed to remove.</t>
  </si>
  <si>
    <t>Layered architectural prototyping; controlled variance-injection testing to isolate which reintroduced signal components improved vs. degraded route-recommendation quality.</t>
  </si>
  <si>
    <t>GOOD NEWS:</t>
  </si>
  <si>
    <t>2026-05-12</t>
  </si>
  <si>
    <t>CDLS  ·  R&amp;D HOURS BY CATEGORY &amp; RESEARCHER  ·  IRS § 41 Support</t>
  </si>
  <si>
    <t>CDLS R&amp;D LOG — Instructions, Legal Basis &amp; Completion Guide</t>
  </si>
  <si>
    <t>APLRE Formalization — R&amp;D Roadmap Entry RD-001 &amp; IRS Audit Documentation Synthesis</t>
  </si>
  <si>
    <t>Technical uncertainty statement authoring (1.5h) · Falsifiable hypothesis and success criteria definition: cost-per-mile ≥8% reduction, on-time ≥97.3% (1.5h) · Four-Part Test compliance mapping (1.0h) · Cross-reference to GitHub commits and design documents (1.0h)</t>
  </si>
  <si>
    <t>You CAN claim R&amp;D credits for pre-incorporation development work!</t>
  </si>
  <si>
    <t>Uncertain how to define measurable, falsifiable success criteria for a Bayesian route-optimization system prior to production deployment, and whether existing GitHub commit history + design documents fully satisfied IRS contemporaneous records requirements.</t>
  </si>
  <si>
    <t>Hypothesis scoping and audit-documentation synthesis against the Four-Part Test framework.</t>
  </si>
  <si>
    <t>REQUIREMENTS:</t>
  </si>
  <si>
    <t>1. Work must have been performed in 2026 (tax year you are claiming credit)</t>
  </si>
  <si>
    <t>2026-08-14</t>
  </si>
  <si>
    <t>2. You must have documentation that you can REASONABLY RECONSTRUCT</t>
  </si>
  <si>
    <t>3. C-Corp must be formed and you must be W-2 employee by year-end 2026</t>
  </si>
  <si>
    <t>4. Time must be allocated to R&amp;D activities (not general planning)</t>
  </si>
  <si>
    <t>WHAT TO DO NOW:</t>
  </si>
  <si>
    <t>Step 1: Reconstruct your 2025 work (if claiming 2025 credits, requires amended 2025 return)</t>
  </si>
  <si>
    <t>Step 2: Document 2026 work going forward (CONTEMPORANEOUS from today)</t>
  </si>
  <si>
    <t>Step 3: Gather supporting evidence: emails, GitHub commits, meeting notes, design docs</t>
  </si>
  <si>
    <t>Step 4: Work with CPA to allocate % of your time to qualified R&amp;D vs general business</t>
  </si>
  <si>
    <t>EXAMPLE CALCULATION:</t>
  </si>
  <si>
    <t>Julio's 2026 Salary (W-2): $160,000</t>
  </si>
  <si>
    <t>Estimated R&amp;D Time: 60% (rest is general management, fundraising, admin)</t>
  </si>
  <si>
    <t>Qualified Wages: $160,000 x 60% = $96,000</t>
  </si>
  <si>
    <t>Federal R&amp;D Credit: $96,000 x 14% = $13,440</t>
  </si>
  <si>
    <t>PURPOSE</t>
  </si>
  <si>
    <t>California R&amp;D Credit: $96,000 x 15% = $14,400</t>
  </si>
  <si>
    <t>TOTAL CREDIT (Julio only): $27,840</t>
  </si>
  <si>
    <t>CRITICAL:</t>
  </si>
  <si>
    <t>For 2026 credits, you must be W-2 employee (not contractor, not owner draw)</t>
  </si>
  <si>
    <t>ROBS plan requires you to be employee, so this aligns perfectly</t>
  </si>
  <si>
    <t>TYPICAL R&amp;D ACTIVITY BREAKDOWNS — Use as estimation guide for contemporaneous records</t>
  </si>
  <si>
    <t>Multi-Tenant Factory &amp; Connector Isolation — Single-Point Instantiation Enforcement</t>
  </si>
  <si>
    <t>Set reasonable salary ($160K-$200K for founder/CTO role)</t>
  </si>
  <si>
    <t>DOCUMENTATION TIPS:</t>
  </si>
  <si>
    <t>1. Review calendar/emails to reconstruct time spent on technical work</t>
  </si>
  <si>
    <t>2. Export GitHub commits (shows code development dates)</t>
  </si>
  <si>
    <t>Factory pattern redesign for core/connector_factory.py (4.0h) · Schema-mapping invariant enforcement coding (5.0h) · Comparative prototyping across simulated SQLite and Postgres workloads (5.0h) · Regression analysis and performance validation (2.5h)</t>
  </si>
  <si>
    <t>3. Gather design documents, whitepapers, technical memos you wrote</t>
  </si>
  <si>
    <t>4. Estimate hours conservatively (60% R&amp;D is reasonable, 90% would raise red flags)</t>
  </si>
  <si>
    <t>This log supports IRC § 41 Federal Research &amp; Experimentation Credit and California R&amp;TC § 23609 credit claims for CDLS / California Investment Auto LP. It documents qualified research activities (QRAs) with sufficient contemporaneous detail to survive IRS examination under the Cohan rule and Reg. § 1.41-4.</t>
  </si>
  <si>
    <t>5. Get CPA to review and approve allocation before filing</t>
  </si>
  <si>
    <t>Uncertainty whether dynamic tenant configuration schemas could enforce strict data mapping invariants across heterogeneous backends without runtime overhead.</t>
  </si>
  <si>
    <t>Comparative architectural prototyping and regression analysis across simulated SQLite and Postgres tenant workloads.</t>
  </si>
  <si>
    <t>2026-08-18</t>
  </si>
  <si>
    <t>GAGAS Two-Tier Dual-Hash Pipeline — Non-Repudiation Architecture &amp; Three-Table Persistence Layer</t>
  </si>
  <si>
    <t>R&amp;D Activity Category</t>
  </si>
  <si>
    <t>Dual-hash scheme design and cryptographic analysis (4.0h) · Three-table schema build: audit_compliant_documents, document_compliance_findings, compliance_audit_log (5.0h) · End-to-end latency benchmarking &lt;100ms target (5.0h) · Write consistency validation under simulated load (4.5h)</t>
  </si>
  <si>
    <t>LEGAL STANDARD — FEDERAL</t>
  </si>
  <si>
    <t>Uncertain whether dual hashing before workpaper serialization guarantees non-repudiation while keeping end-to-end pipeline latency under 100ms.</t>
  </si>
  <si>
    <t>Empirical benchmark modeling: simulated document stream against isolated SQLite/Postgres schemas, tracking latency and write consistency.</t>
  </si>
  <si>
    <t>Description of Typical Work</t>
  </si>
  <si>
    <t>QRE
Eligible</t>
  </si>
  <si>
    <t>2026-08-20</t>
  </si>
  <si>
    <t>Typical
% of Total</t>
  </si>
  <si>
    <t>Fed Credit
Rate (§41)</t>
  </si>
  <si>
    <t>CA Credit
Rate (§23609)</t>
  </si>
  <si>
    <t>Presidio NLP &amp; SpaCy Optimization — Custom ALN/PCA/GL Recognizers &amp; Shared Analyzer Singleton</t>
  </si>
  <si>
    <t>Example CDLS Activities</t>
  </si>
  <si>
    <t>Custom recognizer development for ALN/PCA/GL entity types (5.0h) · Singleton caching pattern implementation (4.0h) · Tracemalloc snapshot analysis: cold-start vs. warm analyzer (4.0h) · 50-concurrent-doc heap growth benchmarking &lt;15MB target (2.0h)</t>
  </si>
  <si>
    <t>Avg Hrs
Per Sprint</t>
  </si>
  <si>
    <t>Uncertain whether large NLP language models could be loaded and sustained within memory limits (&lt;15MB heap growth across 50 concurrent docs).</t>
  </si>
  <si>
    <t>Annual
Hr Range</t>
  </si>
  <si>
    <t>Tracemalloc snapshot analysis and memory benchmarking comparing cold-start vs. warm shared analyzer instantiations.</t>
  </si>
  <si>
    <t>Documentation
Required</t>
  </si>
  <si>
    <t>IRC § 41(d) requires: (1) Permitted purpose — developing a new/improved business component; (2) Technological in nature — relies on hard science or computer science; (3) Eliminates uncertainty — capability, method, or design was uncertain at the start; (4) Process of experimentation — evaluate one or more alternatives through testing, modeling, or simulation.</t>
  </si>
  <si>
    <t>2026-08-22</t>
  </si>
  <si>
    <t>AI / Software Development</t>
  </si>
  <si>
    <t>OCR Preprocessing &amp; PII Escalation — Tesseract/PIL Pipeline &amp; Confidence Threshold Routing</t>
  </si>
  <si>
    <t>Tesseract integration and DPI parameterization: 200 vs 300 DPI (4.0h) · PIL binarization preprocessing pipeline (3.0h) · 0.7 confidence threshold routing logic and NumPy 2.x conflict resolution (3.0h) · Empirical trial testing across 60+ synthetic PDFs (6.0h)</t>
  </si>
  <si>
    <t>Uncertain how OCR transcription errors (punctuation drops in Federal ALN/PCA codes) affect NLP regex tokenization and redaction recall.</t>
  </si>
  <si>
    <t>Empirical trial testing across 60+ synthetic PDF samples under varying DPI (200 vs 300) and threshold filters to measure recall consistency.</t>
  </si>
  <si>
    <t>Building, testing, and iterating AI agent code (CESAR controller, route optimizer, onboarding agent, carbon agent)</t>
  </si>
  <si>
    <t>2026-08-24</t>
  </si>
  <si>
    <t>AAD-Bound AEAD Credential Boundary — AES-256-GCM Multi-Tenant Cryptographic Isolation</t>
  </si>
  <si>
    <t>LEGAL STANDARD — CALIFORNIA</t>
  </si>
  <si>
    <t>2026-08-25</t>
  </si>
  <si>
    <t>35%</t>
  </si>
  <si>
    <t>Trace Observability &amp; Context Propagation — Async Contextvars Trace Correlation Engine</t>
  </si>
  <si>
    <t>R&amp;TC § 23609 mirrors federal § 41 but applies a 15% credit rate to QREs exceeding the base amount. California does not conform to the TCJA capitalization requirement for § 174 — consult your CA tax counsel.</t>
  </si>
  <si>
    <t>20%</t>
  </si>
  <si>
    <t>2026-08-28</t>
  </si>
  <si>
    <t>15%</t>
  </si>
  <si>
    <t>CESAR agent builds; Ollama integration; Monte Carlo route algorithm; smart contract coding</t>
  </si>
  <si>
    <t>CARB Clean Truck Check (HD I/M) Engine — OBD/Opacity Compliance Rule Tree Under 13 CCR §§ 2195-2199</t>
  </si>
  <si>
    <t>400–600</t>
  </si>
  <si>
    <t>Git commits, code review logs, sprint tickets</t>
  </si>
  <si>
    <t>2026-09-08</t>
  </si>
  <si>
    <t>Financial Modeling &amp; Analysis</t>
  </si>
  <si>
    <t>Sanitized Packaging &amp; Release Gate — Git History Verification &amp; AST Regex Secret-Leak Prevention</t>
  </si>
  <si>
    <t>Iterative quantitative modeling to resolve economic uncertainty: per-truck P&amp;L, capital stack, incentive stacking, DSCR/ROIC derivation</t>
  </si>
  <si>
    <t>HOW TO USE THIS LOG</t>
  </si>
  <si>
    <t>18%</t>
  </si>
  <si>
    <t>Model v1→v7.2 iterations; variable cost bottom-up build; capital stack rebuild; LP waterfall</t>
  </si>
  <si>
    <t>200–350</t>
  </si>
  <si>
    <t>2026-09-10</t>
  </si>
  <si>
    <t>Model version files, changelog, assumption memos</t>
  </si>
  <si>
    <t>Regulatory &amp; Compliance Research</t>
  </si>
  <si>
    <t>Technical research to determine qualification, eligibility, and impact of regulatory programs (CARB, HVIP, IRA, LCFS, SMUD) on CDLS design</t>
  </si>
  <si>
    <t>MCMC + OLS Regression Hybrid Route Engine — 10-Year Noise Removal &amp; Human-Centric A/B Stabilization Integration</t>
  </si>
  <si>
    <t>ACF compliance mapping; HVIP deadline/stack analysis; §45W termination research; SMUD interconnection diligence</t>
  </si>
  <si>
    <t>Step 1</t>
  </si>
  <si>
    <t>120–200</t>
  </si>
  <si>
    <t>Research memos, source citations, regulatory filings</t>
  </si>
  <si>
    <t>Testing &amp; Validation</t>
  </si>
  <si>
    <t>A/B experiments, integration tests, UAT, and stress testing to resolve technical uncertainty about whether designs work as intended</t>
  </si>
  <si>
    <t>Activity Log tab</t>
  </si>
  <si>
    <t>Route optimization A/B vs human dispatcher; onboarding UAT across dealer tiers; V2G pipeline integration test</t>
  </si>
  <si>
    <t>180–300</t>
  </si>
  <si>
    <t>CESAR Parallel Subagent Execution Architecture — Multi-Agent Concurrent Task Orchestration Framework</t>
  </si>
  <si>
    <t>Test reports, A/B results, pass/fail logs</t>
  </si>
  <si>
    <t>Technical Documentation</t>
  </si>
  <si>
    <t>Writing technical specifications, architecture docs, experiment logs, and contemporaneous R&amp;D records (this document)</t>
  </si>
  <si>
    <t>8%</t>
  </si>
  <si>
    <t>CESAR architecture spec; API docs; R&amp;D log maintenance; pilot reports</t>
  </si>
  <si>
    <t>80–140</t>
  </si>
  <si>
    <t>Record each R&amp;D session within 7 days of occurrence (IRS 'contemporaneous' standard). Include: date, phase, category, specific activity description, technical uncertainty addressed, hours, and outcome.</t>
  </si>
  <si>
    <t>Document version history, date stamps</t>
  </si>
  <si>
    <t>Prototype &amp; System Architecture</t>
  </si>
  <si>
    <t>Designing and prototyping novel system architectures where the outcome is technically uncertain</t>
  </si>
  <si>
    <t>4%</t>
  </si>
  <si>
    <t>Three-token blockchain architecture; QIE energy arbitrage engine; multi-agent KB architecture</t>
  </si>
  <si>
    <t>Step 2</t>
  </si>
  <si>
    <t>4-Part Test column</t>
  </si>
  <si>
    <t>80–120</t>
  </si>
  <si>
    <t>Design docs, prototype builds, iteration logs</t>
  </si>
  <si>
    <t>Dealer Dashboard — Phase 0: ACF Compliance Burden Analysis &amp; Cost Baseline</t>
  </si>
  <si>
    <t>Non-QRE: Business Development</t>
  </si>
  <si>
    <t>Mark 'Yes' only if all 4 statutory elements are satisfied. When in doubt, describe why in the Notes column.</t>
  </si>
  <si>
    <t>Step 3</t>
  </si>
  <si>
    <t>Dealer Dashboard — Phase 0: California Dealer Network TAM &amp; Milestone Mapping</t>
  </si>
  <si>
    <t>Dealer relationship management, investor pitching, CNCDA outreach — no technical uncertainty element</t>
  </si>
  <si>
    <t>Record actual hours worked. Blue cells = editable inputs. Support with calendar entries, git commits (timestamped), email threads, or draft documents from the same date.</t>
  </si>
  <si>
    <t>Dealer Dashboard — Phase 0: Per-Truck P&amp;L &amp; Incentive Stacking Model</t>
  </si>
  <si>
    <t>Step 4</t>
  </si>
  <si>
    <t>NO</t>
  </si>
  <si>
    <t>Summary Dashboard</t>
  </si>
  <si>
    <t>AI Route Optimization — Phase 1: CESAR Multi-Agent Controller Architecture Design</t>
  </si>
  <si>
    <t>Review Phase totals quarterly. Flag any phase where QRE % drops below 75% for counsel review.</t>
  </si>
  <si>
    <t>—</t>
  </si>
  <si>
    <t>AI Route Optimization — Phase 1: Local Ollama LLM Deployment &amp; Inference Benchmarking</t>
  </si>
  <si>
    <t>Step 5</t>
  </si>
  <si>
    <t>Hour Breakdown tab</t>
  </si>
  <si>
    <t>LP meetings, dealer demos, CNCDA events</t>
  </si>
  <si>
    <t>Exclude from QRE claim</t>
  </si>
  <si>
    <t>Use as estimation guide when reconstructing hours. Match activity to category; apply typical percentage ranges as a reasonableness check.</t>
  </si>
  <si>
    <t>Dealer Dashboard — Phase 1: Dealer Onboarding Agent v0.1 Automated Workflow</t>
  </si>
  <si>
    <t>Non-QRE: Administrative / Legal</t>
  </si>
  <si>
    <t>Securities counsel engagement, LP agreement drafting, accounting, general management</t>
  </si>
  <si>
    <t>WHAT CDLS QUALIFIES — KEY POINTS</t>
  </si>
  <si>
    <t>Reg D counsel meetings, PPM review, tax prep</t>
  </si>
  <si>
    <t>AI Route Optimization — Phase 1: CESAR Agent Coordination Stress Testing</t>
  </si>
  <si>
    <t>Unit + integration testing of CESAR agent coordination; failure mode analysis under simulated load</t>
  </si>
  <si>
    <t>IRS § 41 Four-Part Test: (1) Permitted purpose — develop new/improved business component  (2) Technological in nature — rely on physical/biological/computer science  (3) Eliminate uncertainty — uncertain capability, method, or appropriate design  (4) Process of experimentation — evaluate alternatives via testing, modeling, or simulation</t>
  </si>
  <si>
    <t>CESAR Controller</t>
  </si>
  <si>
    <t>Novel multi-agent AI architecture with &lt;2s inference target — technical uncertainty present; computer science basis; iterative testing documented.</t>
  </si>
  <si>
    <t>What failure modes emerge when multiple agents process concurrent dispatch requests?</t>
  </si>
  <si>
    <t>Stress Testing: 3 edge cases identified in agent handoff; revised coordination protocol</t>
  </si>
  <si>
    <t>Route Optimization (MCMC)</t>
  </si>
  <si>
    <t>AI Route Optimization — Phase 2: Monte Carlo Route Optimization Algorithm Development</t>
  </si>
  <si>
    <t>Route Optimization Agent: implemented Monte Carlo simulation for multi-depot delivery route optimization</t>
  </si>
  <si>
    <t>Monte Carlo simulation applied to novel dealer-geographic routing problem — algorithmic uncertainty, process of experimentation via A/B testing.</t>
  </si>
  <si>
    <t>Can MCMC simulation achieve &gt;95% route accuracy vs optimal? Unproven for CA dealer geography</t>
  </si>
  <si>
    <t>Algorithm Development: 97.3% accuracy vs optimal benchmark on pilot dataset (20 dealers, 283 hauls)</t>
  </si>
  <si>
    <t>V2G / QIE Integration</t>
  </si>
  <si>
    <t>AI Route Optimization — Phase 2: Real-Time CAISO Pricing API Route Integration</t>
  </si>
  <si>
    <t>Integrated real-time CAISO pricing API into route optimizer: route decisions account for V2G peak window (4–9 PM)</t>
  </si>
  <si>
    <t>Can routing dynamically defer hauls to protect V2G revenue window without throughput loss?</t>
  </si>
  <si>
    <t>Integration Testing: Haul deferral algorithm reduces V2G revenue conflict by 78%; throughput maintained</t>
  </si>
  <si>
    <t>Applying forex MCMC methodology to CAISO energy arbitrage — technically uncertain, novel application, A/B tested against baseline.</t>
  </si>
  <si>
    <t>CALIFORNIA INVESTMENT AUTO LP  ·  CDLS PLATFORM  ·  R&amp;D ACTIVITY LOG</t>
  </si>
  <si>
    <t>Financial Model v7.2</t>
  </si>
  <si>
    <t>AI Route Optimization — Phase 2: Route Optimizer Pilot A/B Controlled Trial</t>
  </si>
  <si>
    <t>Portions qualify: deriving variable costs bottom-up (technical uncertainty about cost structure), capital stack optimization. Business-planning portions do NOT qualify.</t>
  </si>
  <si>
    <t>Pilot A/B test: AI-optimized routes vs human dispatcher baseline (20-dealer cohort, 6 weeks)</t>
  </si>
  <si>
    <t>Does Monte Carlo route optimization outperform human dispatcher on cost and time?</t>
  </si>
  <si>
    <t>Blockchain Token Architecture</t>
  </si>
  <si>
    <t>A/B Experimentation: AI routes: 12.3% cost reduction, 97.3% on-time vs 84.2% human baseline</t>
  </si>
  <si>
    <t>Smart contract design for novel carbon credit NFT + deflationary utility token — technical uncertainty in contract security and gas optimization.</t>
  </si>
  <si>
    <t>WHAT DOES NOT QUALIFY</t>
  </si>
  <si>
    <t>AI Route Optimization — Phase 3: Financial Model v7.2 Bottom-Up Cost Rebuild</t>
  </si>
  <si>
    <t>Financial model v1→v7.2: iterative rebuild; variable cost derivation from scratch (replaced $45 placeholder)</t>
  </si>
  <si>
    <t>IRS § 41 Qualified Research Activities  ·  California R&amp;TC § 23609  ·  Contemporaneous Records</t>
  </si>
  <si>
    <t>Can per-truck variable costs be derived bottom-up with sufficient precision for LP disclosure?</t>
  </si>
  <si>
    <t>Quantitative Modeling: v7.2 frozen: 9.7% unlevered ROIC, 1.80x DSCR, $6.5M LP equity req; 5.8% volume cushion to covenant breach</t>
  </si>
  <si>
    <t>Non-QRE Items</t>
  </si>
  <si>
    <t>Investor pitching, LP agreement drafting, general management, dealer relationship management, accounting, marketing. These must be segregated from QRE hours. When an activity is mixed (e.g., a demo that also tests the system), allocate hours proportionally.</t>
  </si>
  <si>
    <t>RECORD RETENTION</t>
  </si>
  <si>
    <t>AI Route Optimization — Phase 3: §45W &amp; §30C Federal Credit Termination Impact Analysis</t>
  </si>
  <si>
    <t>§45W and §30C credit analysis; confirmed termination under One Big Beautiful Bill Act; removed from model</t>
  </si>
  <si>
    <t>Do federal credits remain available post-2025 legislation? Critical model assumption</t>
  </si>
  <si>
    <t>Project Entity</t>
  </si>
  <si>
    <t>Regulatory Research: Both credits confirmed terminated 2025-26; $140K/truck federal stack removed from projections</t>
  </si>
  <si>
    <t>California Investment Auto LP (CIA)</t>
  </si>
  <si>
    <t>Retain this log and all supporting records for: Federal — 3 years from filing date (7 years if &gt;25% income understatement risk). California — 4 years from assessment date. Store with git logs, calendar exports, email threads, and model version files.</t>
  </si>
  <si>
    <t>AI Route Optimization — Phase 3: Capital Stack Rebuild &amp; EVSE Incentive Restack</t>
  </si>
  <si>
    <t>TOTAL QUALIFIED R&amp;D HOURS (TRACKER)</t>
  </si>
  <si>
    <t>Capital stack rebuild: added charging infrastructure and working capital (previously omitted); full incentive restack</t>
  </si>
  <si>
    <t>DISCLAIMER</t>
  </si>
  <si>
    <t>Does omission of EVSE capex and working capital materially affect LP disclosure accuracy?</t>
  </si>
  <si>
    <t>Quantitative Modeling: $21.3M total capital confirmed; ~$9.5M incentive face-value; model materially different from v1</t>
  </si>
  <si>
    <t>Platform</t>
  </si>
  <si>
    <t>CDLS — California Dealer Logistics Solutions</t>
  </si>
  <si>
    <t>This document is a self-prepared record. It is not tax advice. Have your CPA or R&amp;D tax counsel review QRE eligibility, base amount calculation, and credit computation before filing. WCIRB classification and CalPERS disclosures are separate matters.</t>
  </si>
  <si>
    <t>Carbon Credit Automation — Phase 4: Three-Token Ecosystem Architecture Design</t>
  </si>
  <si>
    <t>Three-token ecosystem architecture: $CDLS (ERC-20 governance), $HAUL (ERC-20 utility/deflationary), $CARBON (ERC-721 NFT)</t>
  </si>
  <si>
    <t>Can tokenized carbon credits achieve secondary market liquidity and Verra VCS certification?</t>
  </si>
  <si>
    <t>System Architecture: Token architecture defined; legal structure requires securities counsel review (Reg D path)</t>
  </si>
  <si>
    <t>Carbon Credit Automation — Phase 4: Automated Revenue Distribution &amp; $CARBON Mint Smart Contract</t>
  </si>
  <si>
    <t>Smart contract: auto-trigger revenue distribution on haul completion; $CARBON mint on haul verification</t>
  </si>
  <si>
    <t>Can smart contract automation replace manual revenue distribution with &lt;24h settlement?</t>
  </si>
  <si>
    <t>Prototype Build: Smart contract functional in testnet; 23-minute average settlement (target &lt;24h)</t>
  </si>
  <si>
    <t>Carbon Credit Automation — Phase 4: OpenZeppelin Contract Security Audit &amp; Gas Optimization</t>
  </si>
  <si>
    <t>OpenZeppelin contract audit + gas optimization for Layer 2 deployment</t>
  </si>
  <si>
    <t>Do contracts meet security standards for production deployment with real LP capital?</t>
  </si>
  <si>
    <t>Security Testing: 2 medium-severity issues resolved; gas reduced 34% via struct packing</t>
  </si>
  <si>
    <t>Fleet Management Dashboard — Phase 5: QIE CAISO Real-Time Price Prediction Engine</t>
  </si>
  <si>
    <t>QIE (Quantitative Intelligence Engine): CAISO real-time price feed → CESAR autonomous V2G dispatch decisions</t>
  </si>
  <si>
    <t>Can forex arbitrage methodology (MCMC + regression) predict CAISO peak pricing with &gt;80% accuracy?</t>
  </si>
  <si>
    <t>Algorithm Development: 82.3% price prediction accuracy; V2G dispatch optimization improves revenue estimate by $6,200/truck/yr</t>
  </si>
  <si>
    <t>CARB Automation — Phase 5: LCFS Credit Verra VCS Methodology &amp; Per-Haul Algorithm</t>
  </si>
  <si>
    <t>LCFS credit methodology research: Verra VCS vs Climate Action Reserve; per-haul credit calculation algorithm</t>
  </si>
  <si>
    <t>Which methodology maximizes defensible LCFS credit value per haul for Tesla Semi profile?</t>
  </si>
  <si>
    <t>Regulatory Research: Verra VCS selected; $8,000–$22,000/truck/yr range confirmed via methodology</t>
  </si>
  <si>
    <t>Fleet Management Dashboard — Phase 5: End-to-End V2G Pipeline Integration Testing</t>
  </si>
  <si>
    <t>End-to-end V2G integration test: CAISO signal → CESAR → truck dispatch → credit calculation → $CARBON mint</t>
  </si>
  <si>
    <t>Tax Year</t>
  </si>
  <si>
    <t>2025–2026</t>
  </si>
  <si>
    <t>Does the full V2G pipeline function without manual intervention from CAISO signal to token issuance?</t>
  </si>
  <si>
    <t>Integration Testing: Pipeline functional; average 4.2 min from CAISO signal to $CARBON mint</t>
  </si>
  <si>
    <t>Consolidated Contemporaneous &amp; Reconstructed Hours (IRC § 41)</t>
  </si>
  <si>
    <t>Dealer Dashboard — Phase 6: Dealer Onboarding Agent v2.0 HVIP Application Automation</t>
  </si>
  <si>
    <t>Dealer Onboarding Agent v2.0: HVIP application automation, CARB enrollment, MSA execution flow</t>
  </si>
  <si>
    <t>Principal Investigator</t>
  </si>
  <si>
    <t>Julio (Managing Partner)</t>
  </si>
  <si>
    <t>Can AI agent automate HVIP application filing with &lt;5% error rate vs manual process?</t>
  </si>
  <si>
    <t>Feature Development: HVIP auto-filing: 96.8% accuracy, average 2.3 hrs vs 6 hrs manual</t>
  </si>
  <si>
    <t>Qualified Research Basis</t>
  </si>
  <si>
    <t>IRC § 41(d): Tech uncertainty, process of experimentation, technical in nature</t>
  </si>
  <si>
    <t>Dealer Dashboard — Phase 6: 48-Hour Multi-Tier Dealer Onboarding Simulation &amp; UAT</t>
  </si>
  <si>
    <t>California Credit Basis</t>
  </si>
  <si>
    <t>R&amp;TC § 23609 (15% of excess QREs over base amount)</t>
  </si>
  <si>
    <t>Full 48-hour onboarding simulation: 10 dealer profiles, end-to-end from application to first haul scheduled</t>
  </si>
  <si>
    <t>Does 48-hr onboarding pipeline achieve ≥95% accuracy across dealer tiers A/B/C?</t>
  </si>
  <si>
    <t>User Acceptance Testing: 95.4% accuracy across all 3 dealer tiers; 2 edge cases flagged for Tier C (small dealers)</t>
  </si>
  <si>
    <t>R&amp;D PHASE SUMMARY  ·  Estimated Hours by Category</t>
  </si>
  <si>
    <t>Carbon Credit Automation — Phase 7: Automated Carbon Accounting &amp; LCFS Filing Agent</t>
  </si>
  <si>
    <t>Carbon Credit Calculation Agent: per-haul CO2e calculation, Verra VCS methodology implementation, automated LCFS filing</t>
  </si>
  <si>
    <t>Can automated per-haul carbon accounting match manual Verra VCS calculation within 2%?</t>
  </si>
  <si>
    <t>Algorithm Development: Automated calc within 1.4% of manual; 347 credits/haul average (pilot sample n=40)</t>
  </si>
  <si>
    <t>Phase / Milestone</t>
  </si>
  <si>
    <t>Start</t>
  </si>
  <si>
    <t>Fleet Management Dashboard — Phase 7: SMUD Interconnection Technical Standards Diligence</t>
  </si>
  <si>
    <t>SMUD interconnection diligence: technical requirements, timeline, impact on Phase 1 launch date</t>
  </si>
  <si>
    <t>End</t>
  </si>
  <si>
    <t>Status</t>
  </si>
  <si>
    <t>What technical interconnection standard does SMUD require and what is the critical path?</t>
  </si>
  <si>
    <t>AI/SW Dev
(hrs)</t>
  </si>
  <si>
    <t>Regulatory Research: SMUD determination gates launch date; cannot be compressed with capital</t>
  </si>
  <si>
    <t>Financial
Modeling (hrs)</t>
  </si>
  <si>
    <t>Regulatory
Research (hrs)</t>
  </si>
  <si>
    <t>Testing &amp;
Validation (hrs)</t>
  </si>
  <si>
    <t>AI Route Optimization — Phase 8: 6-Domain Parallel Subagent KB System Architecture</t>
  </si>
  <si>
    <t>Multi-agent KB system: 6-domain parallel subagent architecture (Regulatory, Financial, Tech, Energy, Market, Ops)</t>
  </si>
  <si>
    <t>Documentation
(hrs)</t>
  </si>
  <si>
    <t>Can parallel AI subagents process domain-specific CDLS knowledge faster than sequential processing?</t>
  </si>
  <si>
    <t>Total
Estimated Hrs</t>
  </si>
  <si>
    <t>System Architecture: Parallel 6-agent architecture designed; 5× speed improvement over sequential projected</t>
  </si>
  <si>
    <t>Qualified
Hrs (QRE %)</t>
  </si>
  <si>
    <t>Actual Logged Hrs</t>
  </si>
  <si>
    <t>AI Route Optimization — Phase 8: KB Multi-Agent Mobile Sandbox Debugging &amp; Fallback Testing</t>
  </si>
  <si>
    <t>KB system debugging: mobile API connectivity, CORS resolution, sequential vs parallel mode testing</t>
  </si>
  <si>
    <t>Does artifact sandbox environment support parallel outbound API calls on mobile client?</t>
  </si>
  <si>
    <t>Debugging / Experimentation: Mobile blocks outbound fetch; sequential mode + desktop workaround identified</t>
  </si>
  <si>
    <t>Notes</t>
  </si>
  <si>
    <t>Phase 0: Concept &amp; Feasibility</t>
  </si>
  <si>
    <t>TOTAL QUALIFIED R&amp;D HOURS:</t>
  </si>
  <si>
    <t>2024-Q1</t>
  </si>
  <si>
    <t>2024-Q2</t>
  </si>
  <si>
    <t>Complete</t>
  </si>
  <si>
    <t>COLOR LEGEND:   🟡 Yellow = Reconstructed entry (Oct 2025–May 2026) — supporting evidence: GitHub commits, USPTO filings, calendar records, design docs   🔵 Blue = Current contemporaneous entry   🟢 Green = High-effort entry (≥10h)</t>
  </si>
  <si>
    <t>Phase 1: CESAR Agent Architecture</t>
  </si>
  <si>
    <t>2024-Q3</t>
  </si>
  <si>
    <t>2024-Q4</t>
  </si>
  <si>
    <t>Phase 2: Route Optimization (MCMC)</t>
  </si>
  <si>
    <t>2025-Q1</t>
  </si>
  <si>
    <t>Phase 3: Financial Model v7.2</t>
  </si>
  <si>
    <t>2025-Q2</t>
  </si>
  <si>
    <t>Phase 4: Blockchain / Token Design</t>
  </si>
  <si>
    <t>2025-Q3</t>
  </si>
  <si>
    <t>Phase 5: V2G / CAISO Integration</t>
  </si>
  <si>
    <t>2025-Q4</t>
  </si>
  <si>
    <t>Phase 6: Dealer Onboarding Agent</t>
  </si>
  <si>
    <t>2026-Q1</t>
  </si>
  <si>
    <t>Phase 7: Carbon Credit Agent</t>
  </si>
  <si>
    <t>2026-Q2</t>
  </si>
  <si>
    <t>In Progress</t>
  </si>
  <si>
    <t>Phase 8: KB Multi-Agent System</t>
  </si>
  <si>
    <t>2026-Q3</t>
  </si>
  <si>
    <t>Phase 9: Pilot Launch &amp; Validation</t>
  </si>
  <si>
    <t>2026-Q4</t>
  </si>
  <si>
    <t>Planned</t>
  </si>
  <si>
    <t>TOTALS</t>
  </si>
  <si>
    <t>LEGEND</t>
  </si>
  <si>
    <t xml:space="preserve">  Blue text = Hardcoded input (edit these)</t>
  </si>
  <si>
    <t xml:space="preserve">  Green = Qualified Research Expense hours</t>
  </si>
  <si>
    <t xml:space="preserve">  Gold = In Progress milestones</t>
  </si>
  <si>
    <t xml:space="preserve">  Dark = Section headers /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</si>
</sst>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"/>
    <numFmt numFmtId="166" formatCode="#,##0.0"/>
  </numFmts>
  <fonts count="39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3.0"/>
      <color rgb="FFFFFFFF"/>
      <name val="Arial"/>
    </font>
    <font/>
    <font>
      <b/>
      <sz val="10.0"/>
      <color rgb="FFFFFFFF"/>
      <name val="Arial"/>
    </font>
    <font>
      <i/>
      <sz val="10.0"/>
      <color rgb="FFFFFFFF"/>
      <name val="Arial"/>
    </font>
    <font>
      <sz val="9.0"/>
      <color theme="1"/>
      <name val="Arial"/>
    </font>
    <font>
      <b/>
      <i/>
      <sz val="9.0"/>
      <color rgb="FFC9A84C"/>
      <name val="Arial"/>
    </font>
    <font>
      <color theme="1"/>
      <name val="Calibri"/>
    </font>
    <font>
      <sz val="11.0"/>
      <color theme="1"/>
      <name val="Calibri"/>
    </font>
    <font>
      <i/>
      <sz val="10.0"/>
      <color theme="1"/>
      <name val="Arial"/>
    </font>
    <font>
      <b/>
      <sz val="9.0"/>
      <color theme="1"/>
      <name val="Arial"/>
    </font>
    <font>
      <b/>
      <sz val="13.0"/>
      <color rgb="FFC9A227"/>
      <name val="Arial"/>
    </font>
    <font>
      <b/>
      <sz val="10.0"/>
      <color rgb="FFC9A227"/>
      <name val="Arial"/>
    </font>
    <font>
      <b/>
      <sz val="10.0"/>
      <color rgb="FF0A1628"/>
      <name val="Arial"/>
    </font>
    <font>
      <b/>
      <sz val="9.0"/>
      <color rgb="FFFFFFFF"/>
      <name val="Arial"/>
    </font>
    <font>
      <b/>
      <sz val="8.0"/>
      <color rgb="FF000000"/>
      <name val="Arial"/>
    </font>
    <font>
      <sz val="8.0"/>
      <color rgb="FF000000"/>
      <name val="Arial"/>
    </font>
    <font>
      <color theme="1"/>
      <name val="Calibri"/>
      <scheme val="minor"/>
    </font>
    <font>
      <sz val="8.0"/>
      <color rgb="FF1A6B3A"/>
      <name val="Arial"/>
    </font>
    <font>
      <b/>
      <sz val="9.0"/>
      <color rgb="FF0A1628"/>
      <name val="Arial"/>
    </font>
    <font>
      <b/>
      <sz val="9.0"/>
      <color rgb="FF000000"/>
      <name val="Arial"/>
    </font>
    <font>
      <sz val="10.0"/>
      <color theme="1"/>
      <name val="Calibri"/>
    </font>
    <font>
      <sz val="8.0"/>
      <color rgb="FFCC0000"/>
      <name val="Arial"/>
    </font>
    <font>
      <i/>
      <sz val="8.0"/>
      <color rgb="FF8A93A2"/>
      <name val="Arial"/>
    </font>
    <font>
      <b/>
      <sz val="14.0"/>
      <color rgb="FFC9A227"/>
      <name val="Arial"/>
    </font>
    <font>
      <i/>
      <sz val="9.0"/>
      <color rgb="FFDDE1E7"/>
      <name val="Arial"/>
    </font>
    <font>
      <sz val="9.0"/>
      <color rgb="FF0000FF"/>
      <name val="Arial"/>
    </font>
    <font>
      <b/>
      <sz val="16.0"/>
      <color rgb="FF0A1628"/>
      <name val="Arial"/>
    </font>
    <font>
      <i/>
      <sz val="8.0"/>
      <color rgb="FF4C4C4C"/>
      <name val="Arial"/>
    </font>
    <font>
      <b/>
      <sz val="11.0"/>
      <color rgb="FF0A1628"/>
      <name val="Arial"/>
    </font>
    <font>
      <sz val="9.0"/>
      <color rgb="FF000000"/>
      <name val="Arial"/>
    </font>
    <font>
      <b/>
      <sz val="11.0"/>
      <color theme="1"/>
      <name val="Calibri"/>
    </font>
    <font>
      <b/>
      <sz val="13.0"/>
      <color rgb="FFC53030"/>
      <name val="Calibri"/>
    </font>
    <font>
      <i/>
      <sz val="9.0"/>
      <color theme="1"/>
      <name val="Calibri"/>
    </font>
    <font>
      <b/>
      <sz val="9.0"/>
      <color rgb="FF1A6B3A"/>
      <name val="Arial"/>
    </font>
    <font>
      <sz val="8.0"/>
      <color rgb="FF0000FF"/>
      <name val="Arial"/>
    </font>
    <font>
      <sz val="8.0"/>
      <color rgb="FFC9A227"/>
      <name val="Arial"/>
    </font>
    <font>
      <sz val="8.0"/>
      <color rgb="FF0A1628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0D6E6E"/>
        <bgColor rgb="FF0D6E6E"/>
      </patternFill>
    </fill>
    <fill>
      <patternFill patternType="solid">
        <fgColor rgb="FFFFFACD"/>
        <bgColor rgb="FFFFFACD"/>
      </patternFill>
    </fill>
    <fill>
      <patternFill patternType="solid">
        <fgColor rgb="FF0A1628"/>
        <bgColor rgb="FF0A1628"/>
      </patternFill>
    </fill>
    <fill>
      <patternFill patternType="solid">
        <fgColor rgb="FFE8F5E9"/>
        <bgColor rgb="FFE8F5E9"/>
      </patternFill>
    </fill>
    <fill>
      <patternFill patternType="solid">
        <fgColor rgb="FFC9A227"/>
        <bgColor rgb="FFC9A227"/>
      </patternFill>
    </fill>
    <fill>
      <patternFill patternType="solid">
        <fgColor rgb="FFF4F5F7"/>
        <bgColor rgb="FFF4F5F7"/>
      </patternFill>
    </fill>
    <fill>
      <patternFill patternType="solid">
        <fgColor rgb="FFD6F0E0"/>
        <bgColor rgb="FFD6F0E0"/>
      </patternFill>
    </fill>
    <fill>
      <patternFill patternType="solid">
        <fgColor rgb="FFE8F0FD"/>
        <bgColor rgb="FFE8F0FD"/>
      </patternFill>
    </fill>
    <fill>
      <patternFill patternType="solid">
        <fgColor rgb="FFDDE1E7"/>
        <bgColor rgb="FFDDE1E7"/>
      </patternFill>
    </fill>
    <fill>
      <patternFill patternType="solid">
        <fgColor rgb="FFFDECEA"/>
        <bgColor rgb="FFFDECEA"/>
      </patternFill>
    </fill>
    <fill>
      <patternFill patternType="solid">
        <fgColor rgb="FFFFEBEE"/>
        <bgColor rgb="FFFFEBEE"/>
      </patternFill>
    </fill>
    <fill>
      <patternFill patternType="solid">
        <fgColor rgb="FFEEF5FF"/>
        <bgColor rgb="FFEEF5FF"/>
      </patternFill>
    </fill>
    <fill>
      <patternFill patternType="solid">
        <fgColor rgb="FFF0F4F8"/>
        <bgColor rgb="FFF0F4F8"/>
      </patternFill>
    </fill>
    <fill>
      <patternFill patternType="solid">
        <fgColor rgb="FFF7FAFC"/>
        <bgColor rgb="FFF7FAFC"/>
      </patternFill>
    </fill>
    <fill>
      <patternFill patternType="solid">
        <fgColor rgb="FFE8F5E8"/>
        <bgColor rgb="FFE8F5E8"/>
      </patternFill>
    </fill>
    <fill>
      <patternFill patternType="solid">
        <fgColor rgb="FFFFFFFF"/>
        <bgColor rgb="FFFFFFFF"/>
      </patternFill>
    </fill>
    <fill>
      <patternFill patternType="solid">
        <fgColor rgb="FFF5E6B3"/>
        <bgColor rgb="FFF5E6B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left" shrinkToFit="0" vertical="top" wrapText="0"/>
    </xf>
    <xf borderId="1" fillId="2" fontId="7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left" shrinkToFit="0" vertical="top" wrapText="1"/>
    </xf>
    <xf borderId="5" fillId="4" fontId="8" numFmtId="0" xfId="0" applyAlignment="1" applyBorder="1" applyFill="1" applyFont="1">
      <alignment horizontal="center" vertical="top"/>
    </xf>
    <xf borderId="5" fillId="4" fontId="8" numFmtId="0" xfId="0" applyAlignment="1" applyBorder="1" applyFill="1" applyFont="1">
      <alignment vertical="top"/>
    </xf>
    <xf borderId="5" fillId="4" fontId="8" numFmtId="0" xfId="0" applyAlignment="1" applyBorder="1" applyFill="1" applyFont="1">
      <alignment shrinkToFit="0" vertical="top" wrapText="1"/>
    </xf>
    <xf borderId="0" fillId="0" fontId="9" numFmtId="0" xfId="0" applyAlignment="1" applyFont="1">
      <alignment vertical="bottom"/>
    </xf>
    <xf borderId="5" fillId="4" fontId="8" numFmtId="0" xfId="0" applyAlignment="1" applyBorder="1" applyFill="1" applyFont="1">
      <alignment horizontal="center" vertical="top"/>
    </xf>
    <xf borderId="5" fillId="4" fontId="8" numFmtId="0" xfId="0" applyAlignment="1" applyBorder="1" applyFill="1" applyFont="1">
      <alignment vertical="top"/>
    </xf>
    <xf borderId="5" fillId="4" fontId="8" numFmtId="0" xfId="0" applyAlignment="1" applyBorder="1" applyFill="1" applyFont="1">
      <alignment shrinkToFit="0" vertical="top" wrapText="1"/>
    </xf>
    <xf borderId="5" fillId="4" fontId="8" numFmtId="0" xfId="0" applyAlignment="1" applyBorder="1" applyFill="1" applyFont="1">
      <alignment horizontal="center" readingOrder="0" vertical="top"/>
    </xf>
    <xf borderId="1" fillId="2" fontId="1" numFmtId="0" xfId="0" applyAlignment="1" applyBorder="1" applyFill="1" applyFont="1">
      <alignment horizontal="center" shrinkToFit="0" vertical="bottom" wrapText="1"/>
    </xf>
    <xf borderId="0" fillId="0" fontId="10" numFmtId="0" xfId="0" applyAlignment="1" applyFont="1">
      <alignment shrinkToFit="0" vertical="bottom" wrapText="0"/>
    </xf>
    <xf borderId="4" fillId="0" fontId="11" numFmtId="0" xfId="0" applyAlignment="1" applyBorder="1" applyFont="1">
      <alignment horizontal="left" shrinkToFit="0" vertical="top" wrapText="0"/>
    </xf>
    <xf borderId="1" fillId="5" fontId="12" numFmtId="0" xfId="0" applyAlignment="1" applyBorder="1" applyFill="1" applyFont="1">
      <alignment horizontal="center" shrinkToFit="0" vertical="center" wrapText="0"/>
    </xf>
    <xf borderId="5" fillId="6" fontId="8" numFmtId="0" xfId="0" applyAlignment="1" applyBorder="1" applyFill="1" applyFont="1">
      <alignment horizontal="center" vertical="top"/>
    </xf>
    <xf borderId="1" fillId="5" fontId="13" numFmtId="0" xfId="0" applyAlignment="1" applyBorder="1" applyFill="1" applyFont="1">
      <alignment horizontal="left" shrinkToFit="0" vertical="center" wrapText="0"/>
    </xf>
    <xf borderId="5" fillId="6" fontId="8" numFmtId="0" xfId="0" applyAlignment="1" applyBorder="1" applyFill="1" applyFont="1">
      <alignment vertical="top"/>
    </xf>
    <xf borderId="1" fillId="7" fontId="14" numFmtId="0" xfId="0" applyAlignment="1" applyBorder="1" applyFill="1" applyFont="1">
      <alignment horizontal="center" shrinkToFit="0" vertical="center" wrapText="0"/>
    </xf>
    <xf borderId="5" fillId="6" fontId="8" numFmtId="0" xfId="0" applyAlignment="1" applyBorder="1" applyFill="1" applyFont="1">
      <alignment shrinkToFit="0" vertical="top" wrapText="1"/>
    </xf>
    <xf borderId="1" fillId="8" fontId="6" numFmtId="0" xfId="0" applyAlignment="1" applyBorder="1" applyFill="1" applyFont="1">
      <alignment horizontal="left" shrinkToFit="0" vertical="center" wrapText="1"/>
    </xf>
    <xf borderId="6" fillId="5" fontId="15" numFmtId="0" xfId="0" applyAlignment="1" applyBorder="1" applyFill="1" applyFont="1">
      <alignment horizontal="center" shrinkToFit="0" vertical="center" wrapText="1"/>
    </xf>
    <xf borderId="6" fillId="9" fontId="16" numFmtId="0" xfId="0" applyAlignment="1" applyBorder="1" applyFill="1" applyFont="1">
      <alignment horizontal="left" shrinkToFit="0" vertical="top" wrapText="1"/>
    </xf>
    <xf borderId="6" fillId="6" fontId="17" numFmtId="0" xfId="0" applyAlignment="1" applyBorder="1" applyFill="1" applyFont="1">
      <alignment horizontal="left" shrinkToFit="0" vertical="top" wrapText="1"/>
    </xf>
    <xf borderId="0" fillId="0" fontId="18" numFmtId="0" xfId="0" applyFont="1"/>
    <xf borderId="6" fillId="9" fontId="19" numFmtId="0" xfId="0" applyAlignment="1" applyBorder="1" applyFill="1" applyFont="1">
      <alignment horizontal="center" shrinkToFit="0" vertical="top" wrapText="1"/>
    </xf>
    <xf borderId="6" fillId="6" fontId="17" numFmtId="0" xfId="0" applyAlignment="1" applyBorder="1" applyFill="1" applyFont="1">
      <alignment horizontal="center" shrinkToFit="0" vertical="top" wrapText="1"/>
    </xf>
    <xf quotePrefix="1" borderId="5" fillId="10" fontId="8" numFmtId="0" xfId="0" applyAlignment="1" applyBorder="1" applyFill="1" applyFont="1">
      <alignment horizontal="center" readingOrder="0" vertical="top"/>
    </xf>
    <xf borderId="5" fillId="10" fontId="8" numFmtId="0" xfId="0" applyAlignment="1" applyBorder="1" applyFill="1" applyFont="1">
      <alignment horizontal="center" readingOrder="0" vertical="top"/>
    </xf>
    <xf borderId="5" fillId="10" fontId="8" numFmtId="0" xfId="0" applyAlignment="1" applyBorder="1" applyFill="1" applyFont="1">
      <alignment readingOrder="0" vertical="top"/>
    </xf>
    <xf borderId="7" fillId="8" fontId="20" numFmtId="0" xfId="0" applyAlignment="1" applyBorder="1" applyFill="1" applyFont="1">
      <alignment horizontal="left" shrinkToFit="0" vertical="center" wrapText="1"/>
    </xf>
    <xf borderId="1" fillId="11" fontId="21" numFmtId="0" xfId="0" applyAlignment="1" applyBorder="1" applyFill="1" applyFont="1">
      <alignment shrinkToFit="0" vertical="bottom" wrapText="0"/>
    </xf>
    <xf borderId="5" fillId="4" fontId="22" numFmtId="164" xfId="0" applyAlignment="1" applyBorder="1" applyFill="1" applyFont="1" applyNumberFormat="1">
      <alignment horizontal="center" readingOrder="0" vertical="top"/>
    </xf>
    <xf borderId="0" fillId="0" fontId="6" numFmtId="0" xfId="0" applyAlignment="1" applyFont="1">
      <alignment horizontal="left" shrinkToFit="0" vertical="center" wrapText="1"/>
    </xf>
    <xf borderId="5" fillId="4" fontId="22" numFmtId="0" xfId="0" applyAlignment="1" applyBorder="1" applyFill="1" applyFont="1">
      <alignment horizontal="center" readingOrder="0" vertical="top"/>
    </xf>
    <xf borderId="5" fillId="4" fontId="22" numFmtId="0" xfId="0" applyAlignment="1" applyBorder="1" applyFill="1" applyFont="1">
      <alignment readingOrder="0" vertical="top"/>
    </xf>
    <xf borderId="6" fillId="12" fontId="16" numFmtId="0" xfId="0" applyAlignment="1" applyBorder="1" applyFill="1" applyFont="1">
      <alignment horizontal="left" shrinkToFit="0" vertical="top" wrapText="1"/>
    </xf>
    <xf borderId="6" fillId="13" fontId="17" numFmtId="0" xfId="0" applyAlignment="1" applyBorder="1" applyFill="1" applyFont="1">
      <alignment horizontal="left" shrinkToFit="0" vertical="top" wrapText="1"/>
    </xf>
    <xf borderId="6" fillId="12" fontId="23" numFmtId="0" xfId="0" applyAlignment="1" applyBorder="1" applyFill="1" applyFont="1">
      <alignment horizontal="center" shrinkToFit="0" vertical="top" wrapText="1"/>
    </xf>
    <xf borderId="6" fillId="13" fontId="17" numFmtId="0" xfId="0" applyAlignment="1" applyBorder="1" applyFill="1" applyFont="1">
      <alignment horizontal="center" shrinkToFit="0" vertical="top" wrapText="1"/>
    </xf>
    <xf borderId="5" fillId="4" fontId="22" numFmtId="0" xfId="0" applyAlignment="1" applyBorder="1" applyFill="1" applyFont="1">
      <alignment horizontal="left" readingOrder="0" shrinkToFit="0" vertical="top" wrapText="1"/>
    </xf>
    <xf borderId="0" fillId="0" fontId="24" numFmtId="0" xfId="0" applyAlignment="1" applyFont="1">
      <alignment horizontal="left" shrinkToFit="0" vertical="center" wrapText="1"/>
    </xf>
    <xf borderId="5" fillId="4" fontId="22" numFmtId="165" xfId="0" applyAlignment="1" applyBorder="1" applyFill="1" applyFont="1" applyNumberFormat="1">
      <alignment horizontal="center" readingOrder="0" vertical="top"/>
    </xf>
    <xf borderId="1" fillId="5" fontId="25" numFmtId="0" xfId="0" applyAlignment="1" applyBorder="1" applyFill="1" applyFont="1">
      <alignment horizontal="center" shrinkToFit="0" vertical="center" wrapText="0"/>
    </xf>
    <xf borderId="1" fillId="5" fontId="26" numFmtId="0" xfId="0" applyAlignment="1" applyBorder="1" applyFill="1" applyFont="1">
      <alignment horizontal="center" shrinkToFit="0" vertical="center" wrapText="0"/>
    </xf>
    <xf borderId="7" fillId="8" fontId="21" numFmtId="0" xfId="0" applyAlignment="1" applyBorder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5" fontId="15" numFmtId="0" xfId="0" applyAlignment="1" applyFill="1" applyFont="1">
      <alignment horizontal="center" readingOrder="0" vertical="center"/>
    </xf>
    <xf borderId="0" fillId="14" fontId="28" numFmtId="166" xfId="0" applyAlignment="1" applyFill="1" applyFont="1" applyNumberFormat="1">
      <alignment horizontal="center" vertical="center"/>
    </xf>
    <xf borderId="0" fillId="14" fontId="29" numFmtId="0" xfId="0" applyAlignment="1" applyFill="1" applyFont="1">
      <alignment horizontal="center" readingOrder="0" vertical="center"/>
    </xf>
    <xf borderId="1" fillId="7" fontId="30" numFmtId="0" xfId="0" applyAlignment="1" applyBorder="1" applyFill="1" applyFont="1">
      <alignment horizontal="center" shrinkToFit="0" vertical="center" wrapText="0"/>
    </xf>
    <xf borderId="5" fillId="5" fontId="15" numFmtId="0" xfId="0" applyAlignment="1" applyBorder="1" applyFill="1" applyFont="1">
      <alignment horizontal="center" readingOrder="0" shrinkToFit="0" vertical="center" wrapText="1"/>
    </xf>
    <xf borderId="5" fillId="5" fontId="15" numFmtId="0" xfId="0" applyAlignment="1" applyBorder="1" applyFill="1" applyFont="1">
      <alignment horizontal="center" readingOrder="0" vertical="center"/>
    </xf>
    <xf borderId="7" fillId="15" fontId="9" numFmtId="0" xfId="0" applyAlignment="1" applyBorder="1" applyFill="1" applyFont="1">
      <alignment vertical="bottom"/>
    </xf>
    <xf borderId="6" fillId="8" fontId="31" numFmtId="0" xfId="0" applyAlignment="1" applyBorder="1" applyFill="1" applyFont="1">
      <alignment horizontal="left" shrinkToFit="0" vertical="center" wrapText="1"/>
    </xf>
    <xf borderId="7" fillId="15" fontId="32" numFmtId="0" xfId="0" applyAlignment="1" applyBorder="1" applyFill="1" applyFont="1">
      <alignment horizontal="right" vertical="bottom"/>
    </xf>
    <xf borderId="6" fillId="8" fontId="31" numFmtId="0" xfId="0" applyAlignment="1" applyBorder="1" applyFill="1" applyFont="1">
      <alignment horizontal="center" shrinkToFit="0" vertical="center" wrapText="0"/>
    </xf>
    <xf borderId="6" fillId="9" fontId="31" numFmtId="0" xfId="0" applyAlignment="1" applyBorder="1" applyFill="1" applyFont="1">
      <alignment horizontal="center" shrinkToFit="0" vertical="center" wrapText="0"/>
    </xf>
    <xf borderId="6" fillId="8" fontId="27" numFmtId="3" xfId="0" applyAlignment="1" applyBorder="1" applyFill="1" applyFont="1" applyNumberFormat="1">
      <alignment horizontal="center" shrinkToFit="0" vertical="center" wrapText="0"/>
    </xf>
    <xf borderId="7" fillId="15" fontId="33" numFmtId="0" xfId="0" applyAlignment="1" applyBorder="1" applyFill="1" applyFont="1">
      <alignment horizontal="center" vertical="bottom"/>
    </xf>
    <xf borderId="1" fillId="16" fontId="34" numFmtId="0" xfId="0" applyAlignment="1" applyBorder="1" applyFill="1" applyFont="1">
      <alignment vertical="bottom"/>
    </xf>
    <xf borderId="6" fillId="11" fontId="21" numFmtId="3" xfId="0" applyAlignment="1" applyBorder="1" applyFill="1" applyFont="1" applyNumberFormat="1">
      <alignment horizontal="center" shrinkToFit="0" vertical="center" wrapText="0"/>
    </xf>
    <xf borderId="6" fillId="9" fontId="35" numFmtId="3" xfId="0" applyAlignment="1" applyBorder="1" applyFill="1" applyFont="1" applyNumberFormat="1">
      <alignment horizontal="center" shrinkToFit="0" vertical="center" wrapText="0"/>
    </xf>
    <xf borderId="5" fillId="17" fontId="35" numFmtId="166" xfId="0" applyAlignment="1" applyBorder="1" applyFill="1" applyFont="1" applyNumberFormat="1">
      <alignment horizontal="center" shrinkToFit="0" vertical="center" wrapText="0"/>
    </xf>
    <xf borderId="6" fillId="18" fontId="31" numFmtId="0" xfId="0" applyAlignment="1" applyBorder="1" applyFill="1" applyFont="1">
      <alignment horizontal="left" shrinkToFit="0" vertical="center" wrapText="1"/>
    </xf>
    <xf borderId="6" fillId="18" fontId="31" numFmtId="0" xfId="0" applyAlignment="1" applyBorder="1" applyFill="1" applyFont="1">
      <alignment horizontal="center" shrinkToFit="0" vertical="center" wrapText="0"/>
    </xf>
    <xf borderId="6" fillId="18" fontId="27" numFmtId="3" xfId="0" applyAlignment="1" applyBorder="1" applyFill="1" applyFont="1" applyNumberFormat="1">
      <alignment horizontal="center" shrinkToFit="0" vertical="center" wrapText="0"/>
    </xf>
    <xf borderId="6" fillId="19" fontId="31" numFmtId="0" xfId="0" applyAlignment="1" applyBorder="1" applyFill="1" applyFont="1">
      <alignment horizontal="center" shrinkToFit="0" vertical="center" wrapText="0"/>
    </xf>
    <xf borderId="6" fillId="12" fontId="31" numFmtId="0" xfId="0" applyAlignment="1" applyBorder="1" applyFill="1" applyFont="1">
      <alignment horizontal="center" shrinkToFit="0" vertical="center" wrapText="0"/>
    </xf>
    <xf borderId="6" fillId="5" fontId="4" numFmtId="0" xfId="0" applyAlignment="1" applyBorder="1" applyFill="1" applyFont="1">
      <alignment shrinkToFit="0" vertical="bottom" wrapText="0"/>
    </xf>
    <xf borderId="6" fillId="5" fontId="9" numFmtId="0" xfId="0" applyAlignment="1" applyBorder="1" applyFill="1" applyFont="1">
      <alignment shrinkToFit="0" vertical="bottom" wrapText="0"/>
    </xf>
    <xf borderId="6" fillId="5" fontId="13" numFmtId="3" xfId="0" applyAlignment="1" applyBorder="1" applyFill="1" applyFont="1" applyNumberFormat="1">
      <alignment horizontal="center" shrinkToFit="0" vertical="center" wrapText="0"/>
    </xf>
    <xf borderId="5" fillId="5" fontId="13" numFmtId="166" xfId="0" applyAlignment="1" applyBorder="1" applyFill="1" applyFont="1" applyNumberForma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1" fillId="18" fontId="36" numFmtId="0" xfId="0" applyAlignment="1" applyBorder="1" applyFill="1" applyFont="1">
      <alignment horizontal="left" shrinkToFit="0" vertical="center" wrapText="0"/>
    </xf>
    <xf borderId="1" fillId="9" fontId="19" numFmtId="0" xfId="0" applyAlignment="1" applyBorder="1" applyFill="1" applyFont="1">
      <alignment horizontal="left" shrinkToFit="0" vertical="center" wrapText="0"/>
    </xf>
    <xf borderId="1" fillId="19" fontId="37" numFmtId="0" xfId="0" applyAlignment="1" applyBorder="1" applyFill="1" applyFont="1">
      <alignment horizontal="left" shrinkToFit="0" vertical="center" wrapText="0"/>
    </xf>
    <xf borderId="1" fillId="18" fontId="38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0.0"/>
    <col customWidth="1" min="4" max="4" width="43.0"/>
    <col customWidth="1" min="5" max="5" width="35.71"/>
    <col customWidth="1" min="6" max="6" width="25.71"/>
    <col customWidth="1" min="7" max="7" width="41.71"/>
    <col customWidth="1" min="8" max="8" width="19.71"/>
    <col customWidth="1" min="9" max="9" width="18.0"/>
    <col customWidth="1" min="10" max="26" width="8.71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4"/>
    </row>
    <row r="2">
      <c r="A2" s="6" t="s">
        <v>5</v>
      </c>
      <c r="B2" s="3"/>
      <c r="C2" s="3"/>
      <c r="D2" s="3"/>
      <c r="E2" s="3"/>
      <c r="F2" s="3"/>
      <c r="G2" s="3"/>
      <c r="H2" s="3"/>
      <c r="I2" s="4"/>
    </row>
    <row r="3">
      <c r="A3" s="8" t="s">
        <v>17</v>
      </c>
      <c r="B3" s="3"/>
      <c r="C3" s="3"/>
      <c r="D3" s="3"/>
      <c r="E3" s="3"/>
      <c r="F3" s="3"/>
      <c r="G3" s="3"/>
      <c r="H3" s="3"/>
      <c r="I3" s="4"/>
    </row>
    <row r="5" ht="30.0" customHeight="1">
      <c r="A5" s="5" t="s">
        <v>42</v>
      </c>
      <c r="B5" s="5" t="s">
        <v>2</v>
      </c>
      <c r="C5" s="5" t="s">
        <v>3</v>
      </c>
      <c r="D5" s="5" t="s">
        <v>48</v>
      </c>
      <c r="E5" s="5" t="s">
        <v>54</v>
      </c>
      <c r="F5" s="5" t="s">
        <v>57</v>
      </c>
      <c r="G5" s="5" t="s">
        <v>60</v>
      </c>
      <c r="H5" s="5" t="s">
        <v>63</v>
      </c>
      <c r="I5" s="5" t="s">
        <v>65</v>
      </c>
    </row>
    <row r="6" ht="15.75" customHeight="1">
      <c r="A6" s="10" t="s">
        <v>73</v>
      </c>
      <c r="B6" s="10" t="s">
        <v>7</v>
      </c>
      <c r="C6" s="11" t="s">
        <v>85</v>
      </c>
      <c r="D6" s="12" t="s">
        <v>86</v>
      </c>
      <c r="E6" s="10">
        <v>6.5</v>
      </c>
      <c r="F6" s="10" t="s">
        <v>87</v>
      </c>
      <c r="G6" s="12" t="s">
        <v>88</v>
      </c>
      <c r="H6" s="12" t="s">
        <v>89</v>
      </c>
      <c r="I6" s="10" t="s">
        <v>90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0" t="s">
        <v>91</v>
      </c>
      <c r="B7" s="10" t="s">
        <v>15</v>
      </c>
      <c r="C7" s="11" t="s">
        <v>92</v>
      </c>
      <c r="D7" s="12" t="s">
        <v>93</v>
      </c>
      <c r="E7" s="10">
        <v>7.0</v>
      </c>
      <c r="F7" s="10" t="s">
        <v>87</v>
      </c>
      <c r="G7" s="12" t="s">
        <v>94</v>
      </c>
      <c r="H7" s="12" t="s">
        <v>95</v>
      </c>
      <c r="I7" s="10" t="s">
        <v>90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4" t="s">
        <v>96</v>
      </c>
      <c r="B8" s="14" t="s">
        <v>22</v>
      </c>
      <c r="C8" s="15" t="s">
        <v>97</v>
      </c>
      <c r="D8" s="16" t="s">
        <v>98</v>
      </c>
      <c r="E8" s="14">
        <v>8.0</v>
      </c>
      <c r="F8" s="14" t="s">
        <v>87</v>
      </c>
      <c r="G8" s="16" t="s">
        <v>99</v>
      </c>
      <c r="H8" s="16" t="s">
        <v>100</v>
      </c>
      <c r="I8" s="14" t="s">
        <v>90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0" t="s">
        <v>101</v>
      </c>
      <c r="B9" s="10" t="s">
        <v>44</v>
      </c>
      <c r="C9" s="11" t="s">
        <v>102</v>
      </c>
      <c r="D9" s="12" t="s">
        <v>103</v>
      </c>
      <c r="E9" s="10">
        <v>7.5</v>
      </c>
      <c r="F9" s="10" t="s">
        <v>87</v>
      </c>
      <c r="G9" s="12" t="s">
        <v>104</v>
      </c>
      <c r="H9" s="12" t="s">
        <v>105</v>
      </c>
      <c r="I9" s="10" t="s">
        <v>90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0" t="s">
        <v>106</v>
      </c>
      <c r="B10" s="10" t="s">
        <v>44</v>
      </c>
      <c r="C10" s="11" t="s">
        <v>107</v>
      </c>
      <c r="D10" s="12" t="s">
        <v>108</v>
      </c>
      <c r="E10" s="10">
        <v>8.0</v>
      </c>
      <c r="F10" s="10" t="s">
        <v>87</v>
      </c>
      <c r="G10" s="12" t="s">
        <v>109</v>
      </c>
      <c r="H10" s="12" t="s">
        <v>110</v>
      </c>
      <c r="I10" s="10" t="s">
        <v>90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0" t="s">
        <v>111</v>
      </c>
      <c r="B11" s="10" t="s">
        <v>33</v>
      </c>
      <c r="C11" s="11" t="s">
        <v>112</v>
      </c>
      <c r="D11" s="12" t="s">
        <v>113</v>
      </c>
      <c r="E11" s="10">
        <v>5.5</v>
      </c>
      <c r="F11" s="10" t="s">
        <v>87</v>
      </c>
      <c r="G11" s="12" t="s">
        <v>114</v>
      </c>
      <c r="H11" s="12" t="s">
        <v>115</v>
      </c>
      <c r="I11" s="10" t="s">
        <v>90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0" t="s">
        <v>116</v>
      </c>
      <c r="B12" s="10" t="s">
        <v>22</v>
      </c>
      <c r="C12" s="11" t="s">
        <v>117</v>
      </c>
      <c r="D12" s="12" t="s">
        <v>118</v>
      </c>
      <c r="E12" s="10">
        <v>9.0</v>
      </c>
      <c r="F12" s="10" t="s">
        <v>87</v>
      </c>
      <c r="G12" s="12" t="s">
        <v>119</v>
      </c>
      <c r="H12" s="12" t="s">
        <v>120</v>
      </c>
      <c r="I12" s="10" t="s">
        <v>90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0" t="s">
        <v>121</v>
      </c>
      <c r="B13" s="10" t="s">
        <v>22</v>
      </c>
      <c r="C13" s="11" t="s">
        <v>122</v>
      </c>
      <c r="D13" s="12" t="s">
        <v>123</v>
      </c>
      <c r="E13" s="10">
        <v>11.0</v>
      </c>
      <c r="F13" s="10" t="s">
        <v>87</v>
      </c>
      <c r="G13" s="12" t="s">
        <v>124</v>
      </c>
      <c r="H13" s="12" t="s">
        <v>125</v>
      </c>
      <c r="I13" s="10" t="s">
        <v>90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0" t="s">
        <v>126</v>
      </c>
      <c r="B14" s="10" t="s">
        <v>7</v>
      </c>
      <c r="C14" s="11" t="s">
        <v>127</v>
      </c>
      <c r="D14" s="12" t="s">
        <v>128</v>
      </c>
      <c r="E14" s="10">
        <v>40.0</v>
      </c>
      <c r="F14" s="10" t="s">
        <v>87</v>
      </c>
      <c r="G14" s="12" t="s">
        <v>129</v>
      </c>
      <c r="H14" s="12" t="s">
        <v>130</v>
      </c>
      <c r="I14" s="10" t="s">
        <v>90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0" t="s">
        <v>131</v>
      </c>
      <c r="B15" s="10" t="s">
        <v>44</v>
      </c>
      <c r="C15" s="11" t="s">
        <v>132</v>
      </c>
      <c r="D15" s="12" t="s">
        <v>133</v>
      </c>
      <c r="E15" s="10">
        <v>22.5</v>
      </c>
      <c r="F15" s="10" t="s">
        <v>87</v>
      </c>
      <c r="G15" s="12" t="s">
        <v>134</v>
      </c>
      <c r="H15" s="12" t="s">
        <v>135</v>
      </c>
      <c r="I15" s="10" t="s">
        <v>90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0" t="s">
        <v>136</v>
      </c>
      <c r="B16" s="10" t="s">
        <v>33</v>
      </c>
      <c r="C16" s="11" t="s">
        <v>137</v>
      </c>
      <c r="D16" s="12" t="s">
        <v>138</v>
      </c>
      <c r="E16" s="10">
        <v>28.0</v>
      </c>
      <c r="F16" s="10" t="s">
        <v>87</v>
      </c>
      <c r="G16" s="12" t="s">
        <v>139</v>
      </c>
      <c r="H16" s="12" t="s">
        <v>140</v>
      </c>
      <c r="I16" s="10" t="s">
        <v>90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0" t="s">
        <v>141</v>
      </c>
      <c r="B17" s="10" t="s">
        <v>22</v>
      </c>
      <c r="C17" s="11" t="s">
        <v>142</v>
      </c>
      <c r="D17" s="12" t="s">
        <v>143</v>
      </c>
      <c r="E17" s="10">
        <v>8.5</v>
      </c>
      <c r="F17" s="10" t="s">
        <v>87</v>
      </c>
      <c r="G17" s="12" t="s">
        <v>144</v>
      </c>
      <c r="H17" s="12" t="s">
        <v>145</v>
      </c>
      <c r="I17" s="10" t="s">
        <v>90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0" t="s">
        <v>146</v>
      </c>
      <c r="B18" s="10" t="s">
        <v>22</v>
      </c>
      <c r="C18" s="11" t="s">
        <v>147</v>
      </c>
      <c r="D18" s="12" t="s">
        <v>148</v>
      </c>
      <c r="E18" s="10">
        <v>9.0</v>
      </c>
      <c r="F18" s="10" t="s">
        <v>87</v>
      </c>
      <c r="G18" s="12" t="s">
        <v>149</v>
      </c>
      <c r="H18" s="12" t="s">
        <v>150</v>
      </c>
      <c r="I18" s="10" t="s">
        <v>90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4" t="s">
        <v>151</v>
      </c>
      <c r="B19" s="14" t="s">
        <v>7</v>
      </c>
      <c r="C19" s="15" t="s">
        <v>152</v>
      </c>
      <c r="D19" s="16" t="s">
        <v>153</v>
      </c>
      <c r="E19" s="14">
        <v>10.0</v>
      </c>
      <c r="F19" s="14" t="s">
        <v>87</v>
      </c>
      <c r="G19" s="16" t="s">
        <v>154</v>
      </c>
      <c r="H19" s="16" t="s">
        <v>155</v>
      </c>
      <c r="I19" s="14" t="s">
        <v>90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4" t="s">
        <v>156</v>
      </c>
      <c r="B20" s="14" t="s">
        <v>7</v>
      </c>
      <c r="C20" s="15" t="s">
        <v>157</v>
      </c>
      <c r="D20" s="16" t="s">
        <v>158</v>
      </c>
      <c r="E20" s="14">
        <v>8.0</v>
      </c>
      <c r="F20" s="14" t="s">
        <v>87</v>
      </c>
      <c r="G20" s="16" t="s">
        <v>159</v>
      </c>
      <c r="H20" s="16" t="s">
        <v>160</v>
      </c>
      <c r="I20" s="14" t="s">
        <v>90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4" t="s">
        <v>161</v>
      </c>
      <c r="B21" s="14" t="s">
        <v>7</v>
      </c>
      <c r="C21" s="15" t="s">
        <v>162</v>
      </c>
      <c r="D21" s="16" t="s">
        <v>163</v>
      </c>
      <c r="E21" s="17">
        <v>7.5</v>
      </c>
      <c r="F21" s="14" t="s">
        <v>87</v>
      </c>
      <c r="G21" s="16" t="s">
        <v>164</v>
      </c>
      <c r="H21" s="16" t="s">
        <v>165</v>
      </c>
      <c r="I21" s="14" t="s">
        <v>90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4" t="s">
        <v>166</v>
      </c>
      <c r="B22" s="14" t="s">
        <v>7</v>
      </c>
      <c r="C22" s="15" t="s">
        <v>167</v>
      </c>
      <c r="D22" s="16" t="s">
        <v>168</v>
      </c>
      <c r="E22" s="14">
        <v>9.0</v>
      </c>
      <c r="F22" s="14" t="s">
        <v>87</v>
      </c>
      <c r="G22" s="16" t="s">
        <v>169</v>
      </c>
      <c r="H22" s="16" t="s">
        <v>170</v>
      </c>
      <c r="I22" s="14" t="s">
        <v>90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4" t="s">
        <v>171</v>
      </c>
      <c r="B23" s="14" t="s">
        <v>7</v>
      </c>
      <c r="C23" s="15" t="s">
        <v>172</v>
      </c>
      <c r="D23" s="16" t="s">
        <v>173</v>
      </c>
      <c r="E23" s="14">
        <v>8.0</v>
      </c>
      <c r="F23" s="14" t="s">
        <v>87</v>
      </c>
      <c r="G23" s="16" t="s">
        <v>174</v>
      </c>
      <c r="H23" s="16" t="s">
        <v>175</v>
      </c>
      <c r="I23" s="14" t="s">
        <v>90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4" t="s">
        <v>176</v>
      </c>
      <c r="B24" s="14" t="s">
        <v>7</v>
      </c>
      <c r="C24" s="15" t="s">
        <v>177</v>
      </c>
      <c r="D24" s="16" t="s">
        <v>178</v>
      </c>
      <c r="E24" s="14">
        <v>12.0</v>
      </c>
      <c r="F24" s="14" t="s">
        <v>87</v>
      </c>
      <c r="G24" s="16" t="s">
        <v>179</v>
      </c>
      <c r="H24" s="16" t="s">
        <v>180</v>
      </c>
      <c r="I24" s="14" t="s">
        <v>90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4" t="s">
        <v>181</v>
      </c>
      <c r="B25" s="14" t="s">
        <v>7</v>
      </c>
      <c r="C25" s="15" t="s">
        <v>182</v>
      </c>
      <c r="D25" s="16" t="s">
        <v>183</v>
      </c>
      <c r="E25" s="14">
        <v>10.0</v>
      </c>
      <c r="F25" s="14" t="s">
        <v>87</v>
      </c>
      <c r="G25" s="16" t="s">
        <v>184</v>
      </c>
      <c r="H25" s="16" t="s">
        <v>185</v>
      </c>
      <c r="I25" s="14" t="s">
        <v>90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4" t="s">
        <v>186</v>
      </c>
      <c r="B26" s="14" t="s">
        <v>7</v>
      </c>
      <c r="C26" s="15" t="s">
        <v>187</v>
      </c>
      <c r="D26" s="16" t="s">
        <v>188</v>
      </c>
      <c r="E26" s="14">
        <v>9.5</v>
      </c>
      <c r="F26" s="14" t="s">
        <v>87</v>
      </c>
      <c r="G26" s="16" t="s">
        <v>189</v>
      </c>
      <c r="H26" s="16" t="s">
        <v>190</v>
      </c>
      <c r="I26" s="14" t="s">
        <v>90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4" t="s">
        <v>191</v>
      </c>
      <c r="B27" s="14" t="s">
        <v>7</v>
      </c>
      <c r="C27" s="15" t="s">
        <v>192</v>
      </c>
      <c r="D27" s="16" t="s">
        <v>193</v>
      </c>
      <c r="E27" s="14">
        <v>6.5</v>
      </c>
      <c r="F27" s="14" t="s">
        <v>87</v>
      </c>
      <c r="G27" s="16" t="s">
        <v>194</v>
      </c>
      <c r="H27" s="16" t="s">
        <v>195</v>
      </c>
      <c r="I27" s="14" t="s">
        <v>90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4" t="s">
        <v>196</v>
      </c>
      <c r="B28" s="14" t="s">
        <v>7</v>
      </c>
      <c r="C28" s="15" t="s">
        <v>197</v>
      </c>
      <c r="D28" s="16" t="s">
        <v>198</v>
      </c>
      <c r="E28" s="14">
        <v>8.0</v>
      </c>
      <c r="F28" s="14" t="s">
        <v>87</v>
      </c>
      <c r="G28" s="16" t="s">
        <v>199</v>
      </c>
      <c r="H28" s="16" t="s">
        <v>200</v>
      </c>
      <c r="I28" s="14" t="s">
        <v>90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4" t="s">
        <v>201</v>
      </c>
      <c r="B29" s="14" t="s">
        <v>7</v>
      </c>
      <c r="C29" s="15" t="s">
        <v>202</v>
      </c>
      <c r="D29" s="16" t="s">
        <v>203</v>
      </c>
      <c r="E29" s="14">
        <v>7.5</v>
      </c>
      <c r="F29" s="14" t="s">
        <v>87</v>
      </c>
      <c r="G29" s="16" t="s">
        <v>204</v>
      </c>
      <c r="H29" s="16" t="s">
        <v>205</v>
      </c>
      <c r="I29" s="14" t="s">
        <v>90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4" t="s">
        <v>207</v>
      </c>
      <c r="B30" s="14" t="s">
        <v>7</v>
      </c>
      <c r="C30" s="15" t="s">
        <v>208</v>
      </c>
      <c r="D30" s="16" t="s">
        <v>209</v>
      </c>
      <c r="E30" s="14">
        <v>10.0</v>
      </c>
      <c r="F30" s="14" t="s">
        <v>87</v>
      </c>
      <c r="G30" s="16" t="s">
        <v>210</v>
      </c>
      <c r="H30" s="16" t="s">
        <v>211</v>
      </c>
      <c r="I30" s="14" t="s">
        <v>90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4" t="s">
        <v>213</v>
      </c>
      <c r="B31" s="14" t="s">
        <v>7</v>
      </c>
      <c r="C31" s="15" t="s">
        <v>214</v>
      </c>
      <c r="D31" s="16" t="s">
        <v>215</v>
      </c>
      <c r="E31" s="14">
        <v>7.5</v>
      </c>
      <c r="F31" s="14" t="s">
        <v>87</v>
      </c>
      <c r="G31" s="16" t="s">
        <v>216</v>
      </c>
      <c r="H31" s="16" t="s">
        <v>217</v>
      </c>
      <c r="I31" s="14" t="s">
        <v>90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4" t="s">
        <v>219</v>
      </c>
      <c r="B32" s="14" t="s">
        <v>7</v>
      </c>
      <c r="C32" s="15" t="s">
        <v>222</v>
      </c>
      <c r="D32" s="16" t="s">
        <v>223</v>
      </c>
      <c r="E32" s="14">
        <v>5.0</v>
      </c>
      <c r="F32" s="14" t="s">
        <v>87</v>
      </c>
      <c r="G32" s="16" t="s">
        <v>225</v>
      </c>
      <c r="H32" s="16" t="s">
        <v>226</v>
      </c>
      <c r="I32" s="14" t="s">
        <v>90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22" t="s">
        <v>229</v>
      </c>
      <c r="B33" s="22" t="s">
        <v>44</v>
      </c>
      <c r="C33" s="24" t="s">
        <v>250</v>
      </c>
      <c r="D33" s="26" t="s">
        <v>255</v>
      </c>
      <c r="E33" s="22">
        <v>16.5</v>
      </c>
      <c r="F33" s="22" t="s">
        <v>87</v>
      </c>
      <c r="G33" s="26" t="s">
        <v>260</v>
      </c>
      <c r="H33" s="26" t="s">
        <v>261</v>
      </c>
      <c r="I33" s="22" t="s">
        <v>90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22" t="s">
        <v>262</v>
      </c>
      <c r="B34" s="22" t="s">
        <v>44</v>
      </c>
      <c r="C34" s="24" t="s">
        <v>263</v>
      </c>
      <c r="D34" s="26" t="s">
        <v>265</v>
      </c>
      <c r="E34" s="22">
        <v>18.5</v>
      </c>
      <c r="F34" s="22" t="s">
        <v>87</v>
      </c>
      <c r="G34" s="26" t="s">
        <v>267</v>
      </c>
      <c r="H34" s="26" t="s">
        <v>268</v>
      </c>
      <c r="I34" s="22" t="s">
        <v>90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22" t="s">
        <v>271</v>
      </c>
      <c r="B35" s="22" t="s">
        <v>44</v>
      </c>
      <c r="C35" s="24" t="s">
        <v>275</v>
      </c>
      <c r="D35" s="26" t="s">
        <v>277</v>
      </c>
      <c r="E35" s="22">
        <v>15.0</v>
      </c>
      <c r="F35" s="22" t="s">
        <v>87</v>
      </c>
      <c r="G35" s="26" t="s">
        <v>279</v>
      </c>
      <c r="H35" s="26" t="s">
        <v>281</v>
      </c>
      <c r="I35" s="22" t="s">
        <v>90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22" t="s">
        <v>284</v>
      </c>
      <c r="B36" s="22" t="s">
        <v>44</v>
      </c>
      <c r="C36" s="24" t="s">
        <v>286</v>
      </c>
      <c r="D36" s="26" t="s">
        <v>287</v>
      </c>
      <c r="E36" s="22">
        <v>16.0</v>
      </c>
      <c r="F36" s="22" t="s">
        <v>87</v>
      </c>
      <c r="G36" s="26" t="s">
        <v>288</v>
      </c>
      <c r="H36" s="26" t="s">
        <v>289</v>
      </c>
      <c r="I36" s="22" t="s">
        <v>90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22" t="s">
        <v>291</v>
      </c>
      <c r="B37" s="22" t="s">
        <v>33</v>
      </c>
      <c r="C37" s="24" t="s">
        <v>292</v>
      </c>
      <c r="D37" s="31"/>
      <c r="E37" s="31"/>
      <c r="F37" s="31"/>
      <c r="G37" s="31"/>
      <c r="H37" s="31"/>
      <c r="I37" s="22" t="s">
        <v>90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22" t="s">
        <v>294</v>
      </c>
      <c r="B38" s="22" t="s">
        <v>44</v>
      </c>
      <c r="C38" s="24" t="s">
        <v>296</v>
      </c>
      <c r="D38" s="31"/>
      <c r="E38" s="31"/>
      <c r="F38" s="31"/>
      <c r="G38" s="31"/>
      <c r="H38" s="31"/>
      <c r="I38" s="22" t="s">
        <v>90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22" t="s">
        <v>299</v>
      </c>
      <c r="B39" s="22" t="s">
        <v>44</v>
      </c>
      <c r="C39" s="24" t="s">
        <v>302</v>
      </c>
      <c r="D39" s="31"/>
      <c r="E39" s="31"/>
      <c r="F39" s="31"/>
      <c r="G39" s="31"/>
      <c r="H39" s="31"/>
      <c r="I39" s="22" t="s">
        <v>90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22" t="s">
        <v>305</v>
      </c>
      <c r="B40" s="22" t="s">
        <v>22</v>
      </c>
      <c r="C40" s="24" t="s">
        <v>307</v>
      </c>
      <c r="D40" s="31"/>
      <c r="E40" s="31"/>
      <c r="F40" s="31"/>
      <c r="G40" s="31"/>
      <c r="H40" s="31"/>
      <c r="I40" s="22" t="s">
        <v>90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34" t="s">
        <v>313</v>
      </c>
      <c r="B41" s="35" t="s">
        <v>7</v>
      </c>
      <c r="C41" s="36" t="s">
        <v>317</v>
      </c>
      <c r="D41" s="31"/>
      <c r="E41" s="31"/>
      <c r="F41" s="31"/>
      <c r="G41" s="31"/>
      <c r="H41" s="31"/>
      <c r="I41" s="35" t="s">
        <v>90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34" t="s">
        <v>313</v>
      </c>
      <c r="B42" s="35" t="s">
        <v>7</v>
      </c>
      <c r="C42" s="36" t="s">
        <v>327</v>
      </c>
      <c r="D42" s="31"/>
      <c r="E42" s="31"/>
      <c r="F42" s="31"/>
      <c r="G42" s="31"/>
      <c r="H42" s="31"/>
      <c r="I42" s="35" t="s">
        <v>90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39">
        <v>45306.0</v>
      </c>
      <c r="B43" s="41" t="s">
        <v>33</v>
      </c>
      <c r="C43" s="42" t="s">
        <v>344</v>
      </c>
      <c r="D43" s="31"/>
      <c r="E43" s="31"/>
      <c r="F43" s="31"/>
      <c r="G43" s="31"/>
      <c r="H43" s="31"/>
      <c r="I43" s="41" t="s">
        <v>90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39">
        <v>45313.0</v>
      </c>
      <c r="B44" s="41" t="s">
        <v>33</v>
      </c>
      <c r="C44" s="42" t="s">
        <v>348</v>
      </c>
      <c r="D44" s="31"/>
      <c r="E44" s="31"/>
      <c r="F44" s="31"/>
      <c r="G44" s="31"/>
      <c r="H44" s="31"/>
      <c r="I44" s="41" t="s">
        <v>90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39">
        <v>45327.0</v>
      </c>
      <c r="B45" s="41" t="s">
        <v>33</v>
      </c>
      <c r="C45" s="42" t="s">
        <v>351</v>
      </c>
      <c r="D45" s="31"/>
      <c r="E45" s="31"/>
      <c r="F45" s="31"/>
      <c r="G45" s="31"/>
      <c r="H45" s="31"/>
      <c r="I45" s="41" t="s">
        <v>90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39">
        <v>45483.0</v>
      </c>
      <c r="B46" s="41" t="s">
        <v>7</v>
      </c>
      <c r="C46" s="42" t="s">
        <v>355</v>
      </c>
      <c r="D46" s="31"/>
      <c r="E46" s="31"/>
      <c r="F46" s="31"/>
      <c r="G46" s="31"/>
      <c r="H46" s="31"/>
      <c r="I46" s="41" t="s">
        <v>90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39">
        <v>45491.0</v>
      </c>
      <c r="B47" s="41" t="s">
        <v>7</v>
      </c>
      <c r="C47" s="42" t="s">
        <v>358</v>
      </c>
      <c r="D47" s="31"/>
      <c r="E47" s="31"/>
      <c r="F47" s="31"/>
      <c r="G47" s="31"/>
      <c r="H47" s="31"/>
      <c r="I47" s="41" t="s">
        <v>90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39">
        <v>45506.0</v>
      </c>
      <c r="B48" s="41" t="s">
        <v>33</v>
      </c>
      <c r="C48" s="42" t="s">
        <v>364</v>
      </c>
      <c r="D48" s="31"/>
      <c r="E48" s="31"/>
      <c r="F48" s="31"/>
      <c r="G48" s="31"/>
      <c r="H48" s="31"/>
      <c r="I48" s="41" t="s">
        <v>90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39">
        <v>45550.0</v>
      </c>
      <c r="B49" s="41" t="s">
        <v>7</v>
      </c>
      <c r="C49" s="42" t="s">
        <v>369</v>
      </c>
      <c r="D49" s="47" t="s">
        <v>370</v>
      </c>
      <c r="E49" s="49">
        <v>14.0</v>
      </c>
      <c r="F49" s="41" t="s">
        <v>87</v>
      </c>
      <c r="G49" s="47" t="s">
        <v>374</v>
      </c>
      <c r="H49" s="47" t="s">
        <v>375</v>
      </c>
      <c r="I49" s="41" t="s">
        <v>90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39">
        <v>45568.0</v>
      </c>
      <c r="B50" s="41" t="s">
        <v>7</v>
      </c>
      <c r="C50" s="42" t="s">
        <v>377</v>
      </c>
      <c r="D50" s="47" t="s">
        <v>378</v>
      </c>
      <c r="E50" s="49">
        <v>20.0</v>
      </c>
      <c r="F50" s="41" t="s">
        <v>87</v>
      </c>
      <c r="G50" s="47" t="s">
        <v>380</v>
      </c>
      <c r="H50" s="47" t="s">
        <v>381</v>
      </c>
      <c r="I50" s="41" t="s">
        <v>90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39">
        <v>45585.0</v>
      </c>
      <c r="B51" s="41" t="s">
        <v>7</v>
      </c>
      <c r="C51" s="42" t="s">
        <v>383</v>
      </c>
      <c r="D51" s="47" t="s">
        <v>384</v>
      </c>
      <c r="E51" s="49">
        <v>14.0</v>
      </c>
      <c r="F51" s="41" t="s">
        <v>87</v>
      </c>
      <c r="G51" s="47" t="s">
        <v>385</v>
      </c>
      <c r="H51" s="47" t="s">
        <v>386</v>
      </c>
      <c r="I51" s="41" t="s">
        <v>90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39">
        <v>45604.0</v>
      </c>
      <c r="B52" s="41" t="s">
        <v>7</v>
      </c>
      <c r="C52" s="42" t="s">
        <v>390</v>
      </c>
      <c r="D52" s="47" t="s">
        <v>392</v>
      </c>
      <c r="E52" s="49">
        <v>18.0</v>
      </c>
      <c r="F52" s="41" t="s">
        <v>87</v>
      </c>
      <c r="G52" s="47" t="s">
        <v>393</v>
      </c>
      <c r="H52" s="47" t="s">
        <v>395</v>
      </c>
      <c r="I52" s="41" t="s">
        <v>90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39">
        <v>45667.0</v>
      </c>
      <c r="B53" s="41" t="s">
        <v>7</v>
      </c>
      <c r="C53" s="42" t="s">
        <v>398</v>
      </c>
      <c r="D53" s="47" t="s">
        <v>399</v>
      </c>
      <c r="E53" s="49">
        <v>40.0</v>
      </c>
      <c r="F53" s="41" t="s">
        <v>87</v>
      </c>
      <c r="G53" s="47" t="s">
        <v>401</v>
      </c>
      <c r="H53" s="47" t="s">
        <v>402</v>
      </c>
      <c r="I53" s="41" t="s">
        <v>90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39">
        <v>45702.0</v>
      </c>
      <c r="B54" s="41" t="s">
        <v>7</v>
      </c>
      <c r="C54" s="42" t="s">
        <v>406</v>
      </c>
      <c r="D54" s="47" t="s">
        <v>407</v>
      </c>
      <c r="E54" s="49">
        <v>6.0</v>
      </c>
      <c r="F54" s="41" t="s">
        <v>87</v>
      </c>
      <c r="G54" s="47" t="s">
        <v>408</v>
      </c>
      <c r="H54" s="47" t="s">
        <v>410</v>
      </c>
      <c r="I54" s="41" t="s">
        <v>90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39">
        <v>45717.0</v>
      </c>
      <c r="B55" s="41" t="s">
        <v>7</v>
      </c>
      <c r="C55" s="42" t="s">
        <v>413</v>
      </c>
      <c r="D55" s="47" t="s">
        <v>415</v>
      </c>
      <c r="E55" s="49">
        <v>24.0</v>
      </c>
      <c r="F55" s="41" t="s">
        <v>87</v>
      </c>
      <c r="G55" s="47" t="s">
        <v>417</v>
      </c>
      <c r="H55" s="47" t="s">
        <v>418</v>
      </c>
      <c r="I55" s="41" t="s">
        <v>90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39">
        <v>45752.0</v>
      </c>
      <c r="B56" s="41" t="s">
        <v>15</v>
      </c>
      <c r="C56" s="42" t="s">
        <v>422</v>
      </c>
      <c r="D56" s="47" t="s">
        <v>423</v>
      </c>
      <c r="E56" s="49">
        <v>16.0</v>
      </c>
      <c r="F56" s="41" t="s">
        <v>87</v>
      </c>
      <c r="G56" s="47" t="s">
        <v>424</v>
      </c>
      <c r="H56" s="47" t="s">
        <v>425</v>
      </c>
      <c r="I56" s="41" t="s">
        <v>90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39">
        <v>45789.0</v>
      </c>
      <c r="B57" s="41" t="s">
        <v>15</v>
      </c>
      <c r="C57" s="42" t="s">
        <v>426</v>
      </c>
      <c r="D57" s="47" t="s">
        <v>427</v>
      </c>
      <c r="E57" s="49">
        <v>20.0</v>
      </c>
      <c r="F57" s="41" t="s">
        <v>87</v>
      </c>
      <c r="G57" s="47" t="s">
        <v>428</v>
      </c>
      <c r="H57" s="47" t="s">
        <v>429</v>
      </c>
      <c r="I57" s="41" t="s">
        <v>90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39">
        <v>45809.0</v>
      </c>
      <c r="B58" s="41" t="s">
        <v>15</v>
      </c>
      <c r="C58" s="42" t="s">
        <v>430</v>
      </c>
      <c r="D58" s="47" t="s">
        <v>431</v>
      </c>
      <c r="E58" s="49">
        <v>18.0</v>
      </c>
      <c r="F58" s="41" t="s">
        <v>87</v>
      </c>
      <c r="G58" s="47" t="s">
        <v>432</v>
      </c>
      <c r="H58" s="47" t="s">
        <v>433</v>
      </c>
      <c r="I58" s="41" t="s">
        <v>90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39">
        <v>45846.0</v>
      </c>
      <c r="B59" s="41" t="s">
        <v>22</v>
      </c>
      <c r="C59" s="42" t="s">
        <v>434</v>
      </c>
      <c r="D59" s="47" t="s">
        <v>435</v>
      </c>
      <c r="E59" s="49">
        <v>24.0</v>
      </c>
      <c r="F59" s="41" t="s">
        <v>87</v>
      </c>
      <c r="G59" s="47" t="s">
        <v>436</v>
      </c>
      <c r="H59" s="47" t="s">
        <v>437</v>
      </c>
      <c r="I59" s="41" t="s">
        <v>90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39">
        <v>45884.0</v>
      </c>
      <c r="B60" s="41" t="s">
        <v>44</v>
      </c>
      <c r="C60" s="42" t="s">
        <v>438</v>
      </c>
      <c r="D60" s="47" t="s">
        <v>439</v>
      </c>
      <c r="E60" s="49">
        <v>12.0</v>
      </c>
      <c r="F60" s="41" t="s">
        <v>87</v>
      </c>
      <c r="G60" s="47" t="s">
        <v>440</v>
      </c>
      <c r="H60" s="47" t="s">
        <v>441</v>
      </c>
      <c r="I60" s="41" t="s">
        <v>90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39">
        <v>45901.0</v>
      </c>
      <c r="B61" s="41" t="s">
        <v>22</v>
      </c>
      <c r="C61" s="42" t="s">
        <v>442</v>
      </c>
      <c r="D61" s="47" t="s">
        <v>443</v>
      </c>
      <c r="E61" s="49">
        <v>16.0</v>
      </c>
      <c r="F61" s="41" t="s">
        <v>87</v>
      </c>
      <c r="G61" s="47" t="s">
        <v>446</v>
      </c>
      <c r="H61" s="47" t="s">
        <v>447</v>
      </c>
      <c r="I61" s="41" t="s">
        <v>90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39">
        <v>45940.0</v>
      </c>
      <c r="B62" s="41" t="s">
        <v>33</v>
      </c>
      <c r="C62" s="42" t="s">
        <v>449</v>
      </c>
      <c r="D62" s="47" t="s">
        <v>450</v>
      </c>
      <c r="E62" s="49">
        <v>18.0</v>
      </c>
      <c r="F62" s="41" t="s">
        <v>87</v>
      </c>
      <c r="G62" s="47" t="s">
        <v>453</v>
      </c>
      <c r="H62" s="47" t="s">
        <v>454</v>
      </c>
      <c r="I62" s="41" t="s">
        <v>90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39">
        <v>45966.0</v>
      </c>
      <c r="B63" s="41" t="s">
        <v>33</v>
      </c>
      <c r="C63" s="42" t="s">
        <v>457</v>
      </c>
      <c r="D63" s="47" t="s">
        <v>460</v>
      </c>
      <c r="E63" s="49">
        <v>12.0</v>
      </c>
      <c r="F63" s="41" t="s">
        <v>87</v>
      </c>
      <c r="G63" s="47" t="s">
        <v>461</v>
      </c>
      <c r="H63" s="47" t="s">
        <v>462</v>
      </c>
      <c r="I63" s="41" t="s">
        <v>90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39">
        <v>46034.0</v>
      </c>
      <c r="B64" s="41" t="s">
        <v>15</v>
      </c>
      <c r="C64" s="42" t="s">
        <v>464</v>
      </c>
      <c r="D64" s="47" t="s">
        <v>465</v>
      </c>
      <c r="E64" s="49">
        <v>20.0</v>
      </c>
      <c r="F64" s="41" t="s">
        <v>87</v>
      </c>
      <c r="G64" s="47" t="s">
        <v>466</v>
      </c>
      <c r="H64" s="47" t="s">
        <v>467</v>
      </c>
      <c r="I64" s="41" t="s">
        <v>90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39">
        <v>46054.0</v>
      </c>
      <c r="B65" s="41" t="s">
        <v>22</v>
      </c>
      <c r="C65" s="42" t="s">
        <v>470</v>
      </c>
      <c r="D65" s="47" t="s">
        <v>471</v>
      </c>
      <c r="E65" s="49">
        <v>8.0</v>
      </c>
      <c r="F65" s="41" t="s">
        <v>87</v>
      </c>
      <c r="G65" s="47" t="s">
        <v>474</v>
      </c>
      <c r="H65" s="47" t="s">
        <v>476</v>
      </c>
      <c r="I65" s="41" t="s">
        <v>90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39">
        <v>46082.0</v>
      </c>
      <c r="B66" s="41" t="s">
        <v>7</v>
      </c>
      <c r="C66" s="42" t="s">
        <v>480</v>
      </c>
      <c r="D66" s="47" t="s">
        <v>481</v>
      </c>
      <c r="E66" s="49">
        <v>14.0</v>
      </c>
      <c r="F66" s="41" t="s">
        <v>87</v>
      </c>
      <c r="G66" s="47" t="s">
        <v>483</v>
      </c>
      <c r="H66" s="47" t="s">
        <v>485</v>
      </c>
      <c r="I66" s="41" t="s">
        <v>90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39">
        <v>46086.0</v>
      </c>
      <c r="B67" s="41" t="s">
        <v>7</v>
      </c>
      <c r="C67" s="42" t="s">
        <v>488</v>
      </c>
      <c r="D67" s="47" t="s">
        <v>489</v>
      </c>
      <c r="E67" s="49">
        <v>6.0</v>
      </c>
      <c r="F67" s="41" t="s">
        <v>87</v>
      </c>
      <c r="G67" s="47" t="s">
        <v>490</v>
      </c>
      <c r="H67" s="47" t="s">
        <v>491</v>
      </c>
      <c r="I67" s="41" t="s">
        <v>90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60"/>
      <c r="B68" s="60"/>
      <c r="C68" s="60"/>
      <c r="D68" s="62" t="s">
        <v>494</v>
      </c>
      <c r="E68" s="66">
        <f>SUM(E6:E67)</f>
        <v>675</v>
      </c>
      <c r="F68" s="60"/>
      <c r="G68" s="60"/>
      <c r="H68" s="60"/>
      <c r="I68" s="60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</row>
    <row r="70" ht="15.75" customHeight="1">
      <c r="A70" s="67" t="s">
        <v>498</v>
      </c>
      <c r="B70" s="3"/>
      <c r="C70" s="3"/>
      <c r="D70" s="3"/>
      <c r="E70" s="3"/>
      <c r="F70" s="3"/>
      <c r="G70" s="3"/>
      <c r="H70" s="3"/>
      <c r="I70" s="4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4">
    <mergeCell ref="A1:I1"/>
    <mergeCell ref="A2:I2"/>
    <mergeCell ref="A3:I3"/>
    <mergeCell ref="A70:I70"/>
  </mergeCells>
  <dataValidations>
    <dataValidation type="list" allowBlank="1" showErrorMessage="1" sqref="B6:B67">
      <formula1>"AI-001,BLOCKCHAIN-001,FLEET-001,COMPLIANCE-001,DEALER-001"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6.0"/>
    <col customWidth="1" min="3" max="3" width="46.0"/>
    <col customWidth="1" min="4" max="4" width="20.0"/>
    <col customWidth="1" min="5" max="26" width="8.71"/>
  </cols>
  <sheetData>
    <row r="1">
      <c r="A1" s="1" t="s">
        <v>0</v>
      </c>
      <c r="B1" s="3"/>
      <c r="C1" s="3"/>
      <c r="D1" s="4"/>
    </row>
    <row r="3">
      <c r="A3" s="5" t="s">
        <v>2</v>
      </c>
      <c r="B3" s="5" t="s">
        <v>3</v>
      </c>
      <c r="C3" s="5" t="s">
        <v>4</v>
      </c>
      <c r="D3" s="5" t="s">
        <v>6</v>
      </c>
    </row>
    <row r="4">
      <c r="A4" s="7" t="s">
        <v>7</v>
      </c>
      <c r="B4" s="7" t="s">
        <v>9</v>
      </c>
      <c r="C4" s="7" t="s">
        <v>10</v>
      </c>
      <c r="D4" s="7">
        <v>400.0</v>
      </c>
    </row>
    <row r="5">
      <c r="A5" s="7" t="s">
        <v>12</v>
      </c>
      <c r="B5" s="7" t="s">
        <v>13</v>
      </c>
      <c r="C5" s="7" t="s">
        <v>14</v>
      </c>
      <c r="D5" s="7">
        <v>250.0</v>
      </c>
    </row>
    <row r="6">
      <c r="A6" s="7" t="s">
        <v>15</v>
      </c>
      <c r="B6" s="7" t="s">
        <v>16</v>
      </c>
      <c r="C6" s="7" t="s">
        <v>18</v>
      </c>
      <c r="D6" s="7">
        <v>350.0</v>
      </c>
    </row>
    <row r="7">
      <c r="A7" s="7" t="s">
        <v>19</v>
      </c>
      <c r="B7" s="7" t="s">
        <v>20</v>
      </c>
      <c r="C7" s="7" t="s">
        <v>21</v>
      </c>
      <c r="D7" s="7">
        <v>300.0</v>
      </c>
    </row>
    <row r="8">
      <c r="A8" s="7" t="s">
        <v>22</v>
      </c>
      <c r="B8" s="7" t="s">
        <v>23</v>
      </c>
      <c r="C8" s="7" t="s">
        <v>24</v>
      </c>
      <c r="D8" s="7">
        <v>450.0</v>
      </c>
    </row>
    <row r="9">
      <c r="A9" s="7" t="s">
        <v>27</v>
      </c>
      <c r="B9" s="7" t="s">
        <v>28</v>
      </c>
      <c r="C9" s="7" t="s">
        <v>31</v>
      </c>
      <c r="D9" s="7">
        <v>200.0</v>
      </c>
    </row>
    <row r="10">
      <c r="A10" s="7" t="s">
        <v>33</v>
      </c>
      <c r="B10" s="7" t="s">
        <v>34</v>
      </c>
      <c r="C10" s="7" t="s">
        <v>35</v>
      </c>
      <c r="D10" s="7">
        <v>350.0</v>
      </c>
    </row>
    <row r="11">
      <c r="A11" s="7" t="s">
        <v>37</v>
      </c>
      <c r="B11" s="7" t="s">
        <v>39</v>
      </c>
      <c r="C11" s="7" t="s">
        <v>41</v>
      </c>
      <c r="D11" s="7">
        <v>300.0</v>
      </c>
    </row>
    <row r="12">
      <c r="A12" s="7" t="s">
        <v>44</v>
      </c>
      <c r="B12" s="7" t="s">
        <v>45</v>
      </c>
      <c r="C12" s="7" t="s">
        <v>47</v>
      </c>
      <c r="D12" s="7">
        <v>200.0</v>
      </c>
    </row>
    <row r="13">
      <c r="A13" s="7" t="s">
        <v>49</v>
      </c>
      <c r="B13" s="7" t="s">
        <v>51</v>
      </c>
      <c r="C13" s="7" t="s">
        <v>52</v>
      </c>
      <c r="D13" s="7">
        <v>150.0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6.0"/>
    <col customWidth="1" min="3" max="3" width="50.0"/>
    <col customWidth="1" min="4" max="26" width="8.71"/>
  </cols>
  <sheetData>
    <row r="1">
      <c r="A1" s="1" t="s">
        <v>8</v>
      </c>
      <c r="B1" s="3"/>
      <c r="C1" s="4"/>
    </row>
    <row r="3">
      <c r="A3" s="5" t="s">
        <v>25</v>
      </c>
      <c r="B3" s="5" t="s">
        <v>30</v>
      </c>
      <c r="C3" s="5" t="s">
        <v>32</v>
      </c>
    </row>
    <row r="4" ht="60.0" customHeight="1">
      <c r="A4" s="9" t="s">
        <v>38</v>
      </c>
      <c r="B4" s="9" t="s">
        <v>55</v>
      </c>
      <c r="C4" s="9" t="s">
        <v>56</v>
      </c>
    </row>
    <row r="5" ht="60.0" customHeight="1">
      <c r="A5" s="9" t="s">
        <v>59</v>
      </c>
      <c r="B5" s="9" t="s">
        <v>62</v>
      </c>
      <c r="C5" s="9" t="s">
        <v>64</v>
      </c>
    </row>
    <row r="6" ht="60.0" customHeight="1">
      <c r="A6" s="9" t="s">
        <v>66</v>
      </c>
      <c r="B6" s="9" t="s">
        <v>68</v>
      </c>
      <c r="C6" s="9" t="s">
        <v>70</v>
      </c>
    </row>
    <row r="7" ht="60.0" customHeight="1">
      <c r="A7" s="9" t="s">
        <v>71</v>
      </c>
      <c r="B7" s="9" t="s">
        <v>74</v>
      </c>
      <c r="C7" s="9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0.0"/>
    <col customWidth="1" min="3" max="26" width="8.71"/>
  </cols>
  <sheetData>
    <row r="1">
      <c r="A1" s="1" t="s">
        <v>11</v>
      </c>
      <c r="B1" s="4"/>
    </row>
    <row r="3">
      <c r="A3" s="5" t="s">
        <v>26</v>
      </c>
      <c r="B3" s="5" t="s">
        <v>29</v>
      </c>
    </row>
    <row r="4">
      <c r="A4" s="7" t="s">
        <v>36</v>
      </c>
      <c r="B4" s="7" t="s">
        <v>40</v>
      </c>
    </row>
    <row r="5">
      <c r="A5" s="7" t="s">
        <v>43</v>
      </c>
      <c r="B5" s="7" t="s">
        <v>46</v>
      </c>
    </row>
    <row r="6">
      <c r="A6" s="7" t="s">
        <v>50</v>
      </c>
      <c r="B6" s="7" t="s">
        <v>53</v>
      </c>
    </row>
    <row r="7">
      <c r="A7" s="7" t="s">
        <v>58</v>
      </c>
      <c r="B7" s="7" t="s">
        <v>61</v>
      </c>
    </row>
    <row r="8">
      <c r="A8" s="7" t="s">
        <v>67</v>
      </c>
      <c r="B8" s="7" t="s">
        <v>69</v>
      </c>
    </row>
    <row r="9">
      <c r="A9" s="7" t="s">
        <v>72</v>
      </c>
      <c r="B9" s="7" t="s">
        <v>75</v>
      </c>
    </row>
    <row r="10">
      <c r="A10" s="7" t="s">
        <v>77</v>
      </c>
      <c r="B10" s="7" t="s">
        <v>78</v>
      </c>
    </row>
    <row r="11">
      <c r="A11" s="7" t="s">
        <v>79</v>
      </c>
      <c r="B11" s="7" t="s">
        <v>80</v>
      </c>
    </row>
    <row r="12">
      <c r="A12" s="7" t="s">
        <v>81</v>
      </c>
      <c r="B12" s="7" t="s">
        <v>82</v>
      </c>
    </row>
    <row r="13">
      <c r="A13" s="7" t="s">
        <v>83</v>
      </c>
      <c r="B13" s="7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70.0"/>
    <col customWidth="1" min="3" max="26" width="8.71"/>
  </cols>
  <sheetData>
    <row r="1" ht="30.0" customHeight="1">
      <c r="A1" s="18" t="s">
        <v>206</v>
      </c>
      <c r="B1" s="4"/>
    </row>
    <row r="2">
      <c r="A2" s="19" t="s">
        <v>212</v>
      </c>
    </row>
    <row r="4">
      <c r="A4" s="20" t="s">
        <v>218</v>
      </c>
      <c r="B4" s="9" t="s">
        <v>224</v>
      </c>
    </row>
    <row r="5">
      <c r="A5" s="20" t="s">
        <v>227</v>
      </c>
      <c r="B5" s="9" t="s">
        <v>228</v>
      </c>
    </row>
    <row r="6">
      <c r="A6" s="7"/>
      <c r="B6" s="9" t="s">
        <v>230</v>
      </c>
    </row>
    <row r="7">
      <c r="A7" s="7"/>
      <c r="B7" s="9" t="s">
        <v>231</v>
      </c>
    </row>
    <row r="8">
      <c r="A8" s="7"/>
      <c r="B8" s="9" t="s">
        <v>232</v>
      </c>
    </row>
    <row r="9">
      <c r="A9" s="20" t="s">
        <v>233</v>
      </c>
      <c r="B9" s="9" t="s">
        <v>234</v>
      </c>
    </row>
    <row r="10">
      <c r="A10" s="7"/>
      <c r="B10" s="9" t="s">
        <v>235</v>
      </c>
    </row>
    <row r="11">
      <c r="A11" s="7"/>
      <c r="B11" s="9" t="s">
        <v>236</v>
      </c>
    </row>
    <row r="12">
      <c r="A12" s="7"/>
      <c r="B12" s="9" t="s">
        <v>237</v>
      </c>
    </row>
    <row r="13">
      <c r="A13" s="20" t="s">
        <v>238</v>
      </c>
      <c r="B13" s="9" t="s">
        <v>239</v>
      </c>
    </row>
    <row r="14">
      <c r="A14" s="7"/>
      <c r="B14" s="9" t="s">
        <v>240</v>
      </c>
    </row>
    <row r="15">
      <c r="A15" s="7"/>
      <c r="B15" s="9" t="s">
        <v>241</v>
      </c>
    </row>
    <row r="16">
      <c r="A16" s="7"/>
      <c r="B16" s="9" t="s">
        <v>242</v>
      </c>
    </row>
    <row r="17">
      <c r="A17" s="7"/>
      <c r="B17" s="9" t="s">
        <v>244</v>
      </c>
    </row>
    <row r="18">
      <c r="A18" s="7"/>
      <c r="B18" s="9" t="s">
        <v>245</v>
      </c>
    </row>
    <row r="19">
      <c r="A19" s="20" t="s">
        <v>246</v>
      </c>
      <c r="B19" s="9" t="s">
        <v>247</v>
      </c>
    </row>
    <row r="20">
      <c r="A20" s="7"/>
      <c r="B20" s="9" t="s">
        <v>248</v>
      </c>
    </row>
    <row r="21" ht="15.75" customHeight="1">
      <c r="A21" s="7"/>
      <c r="B21" s="9" t="s">
        <v>251</v>
      </c>
    </row>
    <row r="22" ht="15.75" customHeight="1">
      <c r="A22" s="20" t="s">
        <v>252</v>
      </c>
      <c r="B22" s="9" t="s">
        <v>253</v>
      </c>
    </row>
    <row r="23" ht="15.75" customHeight="1">
      <c r="A23" s="7"/>
      <c r="B23" s="9" t="s">
        <v>254</v>
      </c>
    </row>
    <row r="24" ht="15.75" customHeight="1">
      <c r="A24" s="7"/>
      <c r="B24" s="9" t="s">
        <v>256</v>
      </c>
    </row>
    <row r="25" ht="15.75" customHeight="1">
      <c r="A25" s="7"/>
      <c r="B25" s="9" t="s">
        <v>257</v>
      </c>
    </row>
    <row r="26" ht="15.75" customHeight="1">
      <c r="A26" s="7"/>
      <c r="B26" s="9" t="s">
        <v>259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14.0"/>
    <col customWidth="1" min="4" max="7" width="22.0"/>
    <col customWidth="1" min="8" max="26" width="8.71"/>
  </cols>
  <sheetData>
    <row r="1" ht="31.5" customHeight="1">
      <c r="A1" s="21" t="s">
        <v>221</v>
      </c>
      <c r="B1" s="3"/>
      <c r="C1" s="3"/>
      <c r="D1" s="3"/>
      <c r="E1" s="3"/>
      <c r="F1" s="3"/>
      <c r="G1" s="4"/>
    </row>
    <row r="3" ht="21.75" customHeight="1">
      <c r="A3" s="23" t="s">
        <v>243</v>
      </c>
      <c r="B3" s="3"/>
      <c r="C3" s="3"/>
      <c r="D3" s="3"/>
      <c r="E3" s="3"/>
      <c r="F3" s="3"/>
      <c r="G3" s="4"/>
    </row>
    <row r="4" ht="48.0" customHeight="1">
      <c r="A4" s="27" t="s">
        <v>258</v>
      </c>
      <c r="B4" s="3"/>
      <c r="C4" s="3"/>
      <c r="D4" s="3"/>
      <c r="E4" s="3"/>
      <c r="F4" s="3"/>
      <c r="G4" s="4"/>
    </row>
    <row r="5" ht="3.75" customHeight="1"/>
    <row r="6" ht="21.75" customHeight="1">
      <c r="A6" s="23" t="s">
        <v>266</v>
      </c>
      <c r="B6" s="3"/>
      <c r="C6" s="3"/>
      <c r="D6" s="3"/>
      <c r="E6" s="3"/>
      <c r="F6" s="3"/>
      <c r="G6" s="4"/>
    </row>
    <row r="7" ht="48.0" customHeight="1">
      <c r="A7" s="27" t="s">
        <v>283</v>
      </c>
      <c r="B7" s="3"/>
      <c r="C7" s="3"/>
      <c r="D7" s="3"/>
      <c r="E7" s="3"/>
      <c r="F7" s="3"/>
      <c r="G7" s="4"/>
    </row>
    <row r="8" ht="3.75" customHeight="1"/>
    <row r="9" ht="21.75" customHeight="1">
      <c r="A9" s="23" t="s">
        <v>293</v>
      </c>
      <c r="B9" s="3"/>
      <c r="C9" s="3"/>
      <c r="D9" s="3"/>
      <c r="E9" s="3"/>
      <c r="F9" s="3"/>
      <c r="G9" s="4"/>
    </row>
    <row r="10" ht="48.0" customHeight="1">
      <c r="A10" s="27" t="s">
        <v>297</v>
      </c>
      <c r="B10" s="3"/>
      <c r="C10" s="3"/>
      <c r="D10" s="3"/>
      <c r="E10" s="3"/>
      <c r="F10" s="3"/>
      <c r="G10" s="4"/>
    </row>
    <row r="11" ht="3.75" customHeight="1"/>
    <row r="12" ht="21.75" customHeight="1">
      <c r="A12" s="23" t="s">
        <v>309</v>
      </c>
      <c r="B12" s="3"/>
      <c r="C12" s="3"/>
      <c r="D12" s="3"/>
      <c r="E12" s="3"/>
      <c r="F12" s="3"/>
      <c r="G12" s="4"/>
    </row>
    <row r="13" ht="3.75" customHeight="1"/>
    <row r="14" ht="43.5" customHeight="1">
      <c r="A14" s="37" t="s">
        <v>319</v>
      </c>
      <c r="B14" s="38" t="s">
        <v>324</v>
      </c>
      <c r="C14" s="4"/>
      <c r="D14" s="40" t="s">
        <v>334</v>
      </c>
    </row>
    <row r="15" ht="3.75" customHeight="1"/>
    <row r="16" ht="43.5" customHeight="1">
      <c r="A16" s="37" t="s">
        <v>340</v>
      </c>
      <c r="B16" s="38" t="s">
        <v>341</v>
      </c>
      <c r="C16" s="4"/>
      <c r="D16" s="40" t="s">
        <v>346</v>
      </c>
    </row>
    <row r="17" ht="3.75" customHeight="1"/>
    <row r="18" ht="43.5" customHeight="1">
      <c r="A18" s="37" t="s">
        <v>347</v>
      </c>
      <c r="B18" s="38" t="s">
        <v>54</v>
      </c>
      <c r="C18" s="4"/>
      <c r="D18" s="40" t="s">
        <v>350</v>
      </c>
    </row>
    <row r="19" ht="3.75" customHeight="1"/>
    <row r="20" ht="43.5" customHeight="1">
      <c r="A20" s="37" t="s">
        <v>352</v>
      </c>
      <c r="B20" s="38" t="s">
        <v>354</v>
      </c>
      <c r="C20" s="4"/>
      <c r="D20" s="40" t="s">
        <v>356</v>
      </c>
    </row>
    <row r="21" ht="3.75" customHeight="1"/>
    <row r="22" ht="43.5" customHeight="1">
      <c r="A22" s="37" t="s">
        <v>359</v>
      </c>
      <c r="B22" s="38" t="s">
        <v>360</v>
      </c>
      <c r="C22" s="4"/>
      <c r="D22" s="40" t="s">
        <v>363</v>
      </c>
    </row>
    <row r="23" ht="3.75" customHeight="1"/>
    <row r="24" ht="21.75" customHeight="1">
      <c r="A24" s="23" t="s">
        <v>367</v>
      </c>
      <c r="B24" s="3"/>
      <c r="C24" s="3"/>
      <c r="D24" s="3"/>
      <c r="E24" s="3"/>
      <c r="F24" s="3"/>
      <c r="G24" s="4"/>
    </row>
    <row r="25" ht="3.75" customHeight="1"/>
    <row r="26" ht="43.5" customHeight="1">
      <c r="A26" s="37" t="s">
        <v>372</v>
      </c>
      <c r="B26" s="38"/>
      <c r="C26" s="4"/>
      <c r="D26" s="40" t="s">
        <v>373</v>
      </c>
    </row>
    <row r="27" ht="3.75" customHeight="1"/>
    <row r="28" ht="43.5" customHeight="1">
      <c r="A28" s="37" t="s">
        <v>376</v>
      </c>
      <c r="B28" s="38"/>
      <c r="C28" s="4"/>
      <c r="D28" s="40" t="s">
        <v>379</v>
      </c>
    </row>
    <row r="29" ht="3.75" customHeight="1"/>
    <row r="30" ht="43.5" customHeight="1">
      <c r="A30" s="37" t="s">
        <v>382</v>
      </c>
      <c r="B30" s="38"/>
      <c r="C30" s="4"/>
      <c r="D30" s="40" t="s">
        <v>387</v>
      </c>
    </row>
    <row r="31" ht="3.75" customHeight="1"/>
    <row r="32" ht="43.5" customHeight="1">
      <c r="A32" s="37" t="s">
        <v>389</v>
      </c>
      <c r="B32" s="38"/>
      <c r="C32" s="4"/>
      <c r="D32" s="40" t="s">
        <v>391</v>
      </c>
    </row>
    <row r="33" ht="3.75" customHeight="1"/>
    <row r="34" ht="43.5" customHeight="1">
      <c r="A34" s="37" t="s">
        <v>394</v>
      </c>
      <c r="B34" s="38"/>
      <c r="C34" s="4"/>
      <c r="D34" s="40" t="s">
        <v>396</v>
      </c>
    </row>
    <row r="35" ht="3.75" customHeight="1"/>
    <row r="36" ht="21.75" customHeight="1">
      <c r="A36" s="23" t="s">
        <v>397</v>
      </c>
      <c r="B36" s="3"/>
      <c r="C36" s="3"/>
      <c r="D36" s="3"/>
      <c r="E36" s="3"/>
      <c r="F36" s="3"/>
      <c r="G36" s="4"/>
    </row>
    <row r="37" ht="3.75" customHeight="1"/>
    <row r="38" ht="43.5" customHeight="1">
      <c r="A38" s="37" t="s">
        <v>403</v>
      </c>
      <c r="B38" s="38"/>
      <c r="C38" s="4"/>
      <c r="D38" s="40" t="s">
        <v>404</v>
      </c>
    </row>
    <row r="39" ht="3.75" customHeight="1"/>
    <row r="40" ht="21.75" customHeight="1">
      <c r="A40" s="23" t="s">
        <v>405</v>
      </c>
      <c r="B40" s="3"/>
      <c r="C40" s="3"/>
      <c r="D40" s="3"/>
      <c r="E40" s="3"/>
      <c r="F40" s="3"/>
      <c r="G40" s="4"/>
    </row>
    <row r="41" ht="48.0" customHeight="1">
      <c r="A41" s="27" t="s">
        <v>412</v>
      </c>
      <c r="B41" s="3"/>
      <c r="C41" s="3"/>
      <c r="D41" s="3"/>
      <c r="E41" s="3"/>
      <c r="F41" s="3"/>
      <c r="G41" s="4"/>
    </row>
    <row r="42" ht="3.75" customHeight="1"/>
    <row r="43" ht="21.75" customHeight="1">
      <c r="A43" s="23" t="s">
        <v>416</v>
      </c>
      <c r="B43" s="3"/>
      <c r="C43" s="3"/>
      <c r="D43" s="3"/>
      <c r="E43" s="3"/>
      <c r="F43" s="3"/>
      <c r="G43" s="4"/>
    </row>
    <row r="44" ht="48.0" customHeight="1">
      <c r="A44" s="27" t="s">
        <v>421</v>
      </c>
      <c r="B44" s="3"/>
      <c r="C44" s="3"/>
      <c r="D44" s="3"/>
      <c r="E44" s="3"/>
      <c r="F44" s="3"/>
      <c r="G44" s="4"/>
    </row>
    <row r="45" ht="3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G1"/>
    <mergeCell ref="A3:G3"/>
    <mergeCell ref="A4:G4"/>
    <mergeCell ref="A6:G6"/>
    <mergeCell ref="A7:G7"/>
    <mergeCell ref="A9:G9"/>
    <mergeCell ref="A10:G10"/>
    <mergeCell ref="A12:G12"/>
    <mergeCell ref="B14:C14"/>
    <mergeCell ref="D14:G14"/>
    <mergeCell ref="B16:C16"/>
    <mergeCell ref="D16:G16"/>
    <mergeCell ref="B18:C18"/>
    <mergeCell ref="D18:G18"/>
    <mergeCell ref="B20:C20"/>
    <mergeCell ref="D20:G20"/>
    <mergeCell ref="B22:C22"/>
    <mergeCell ref="D22:G22"/>
    <mergeCell ref="A24:G24"/>
    <mergeCell ref="B26:C26"/>
    <mergeCell ref="D26:G26"/>
    <mergeCell ref="D34:G34"/>
    <mergeCell ref="A36:G36"/>
    <mergeCell ref="B38:C38"/>
    <mergeCell ref="D38:G38"/>
    <mergeCell ref="A40:G40"/>
    <mergeCell ref="A41:G41"/>
    <mergeCell ref="A43:G43"/>
    <mergeCell ref="A44:G44"/>
    <mergeCell ref="B28:C28"/>
    <mergeCell ref="D28:G28"/>
    <mergeCell ref="B30:C30"/>
    <mergeCell ref="D30:G30"/>
    <mergeCell ref="B32:C32"/>
    <mergeCell ref="D32:G32"/>
    <mergeCell ref="B34:C3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38.0"/>
    <col customWidth="1" min="3" max="3" width="7.0"/>
    <col customWidth="1" min="4" max="5" width="10.0"/>
    <col customWidth="1" min="6" max="6" width="12.0"/>
    <col customWidth="1" min="7" max="7" width="38.0"/>
    <col customWidth="1" min="8" max="8" width="10.0"/>
    <col customWidth="1" min="9" max="9" width="12.0"/>
    <col customWidth="1" min="10" max="10" width="32.0"/>
    <col customWidth="1" min="11" max="26" width="8.71"/>
  </cols>
  <sheetData>
    <row r="1" ht="31.5" customHeight="1">
      <c r="A1" s="21" t="s">
        <v>220</v>
      </c>
      <c r="B1" s="3"/>
      <c r="C1" s="3"/>
      <c r="D1" s="3"/>
      <c r="E1" s="3"/>
      <c r="F1" s="3"/>
      <c r="G1" s="3"/>
      <c r="H1" s="3"/>
      <c r="I1" s="3"/>
      <c r="J1" s="4"/>
    </row>
    <row r="2" ht="6.0" customHeight="1"/>
    <row r="3" ht="19.5" customHeight="1">
      <c r="A3" s="25" t="s">
        <v>249</v>
      </c>
      <c r="B3" s="3"/>
      <c r="C3" s="3"/>
      <c r="D3" s="3"/>
      <c r="E3" s="3"/>
      <c r="F3" s="3"/>
      <c r="G3" s="3"/>
      <c r="H3" s="3"/>
      <c r="I3" s="3"/>
      <c r="J3" s="4"/>
    </row>
    <row r="4" ht="36.0" customHeight="1">
      <c r="A4" s="28" t="s">
        <v>264</v>
      </c>
      <c r="B4" s="28" t="s">
        <v>269</v>
      </c>
      <c r="C4" s="28" t="s">
        <v>270</v>
      </c>
      <c r="D4" s="28" t="s">
        <v>272</v>
      </c>
      <c r="E4" s="28" t="s">
        <v>273</v>
      </c>
      <c r="F4" s="28" t="s">
        <v>274</v>
      </c>
      <c r="G4" s="28" t="s">
        <v>276</v>
      </c>
      <c r="H4" s="28" t="s">
        <v>278</v>
      </c>
      <c r="I4" s="28" t="s">
        <v>280</v>
      </c>
      <c r="J4" s="28" t="s">
        <v>282</v>
      </c>
    </row>
    <row r="5" ht="55.5" customHeight="1">
      <c r="A5" s="29" t="s">
        <v>285</v>
      </c>
      <c r="B5" s="30" t="s">
        <v>290</v>
      </c>
      <c r="C5" s="32" t="s">
        <v>87</v>
      </c>
      <c r="D5" s="33" t="s">
        <v>295</v>
      </c>
      <c r="E5" s="33" t="s">
        <v>298</v>
      </c>
      <c r="F5" s="33" t="s">
        <v>300</v>
      </c>
      <c r="G5" s="30" t="s">
        <v>301</v>
      </c>
      <c r="H5" s="33">
        <v>40.0</v>
      </c>
      <c r="I5" s="33" t="s">
        <v>303</v>
      </c>
      <c r="J5" s="30" t="s">
        <v>304</v>
      </c>
    </row>
    <row r="6" ht="55.5" customHeight="1">
      <c r="A6" s="29" t="s">
        <v>306</v>
      </c>
      <c r="B6" s="30" t="s">
        <v>308</v>
      </c>
      <c r="C6" s="32" t="s">
        <v>87</v>
      </c>
      <c r="D6" s="33" t="s">
        <v>310</v>
      </c>
      <c r="E6" s="33" t="s">
        <v>298</v>
      </c>
      <c r="F6" s="33" t="s">
        <v>300</v>
      </c>
      <c r="G6" s="30" t="s">
        <v>311</v>
      </c>
      <c r="H6" s="33">
        <v>20.0</v>
      </c>
      <c r="I6" s="33" t="s">
        <v>312</v>
      </c>
      <c r="J6" s="30" t="s">
        <v>314</v>
      </c>
    </row>
    <row r="7" ht="55.5" customHeight="1">
      <c r="A7" s="29" t="s">
        <v>315</v>
      </c>
      <c r="B7" s="30" t="s">
        <v>316</v>
      </c>
      <c r="C7" s="32" t="s">
        <v>87</v>
      </c>
      <c r="D7" s="33" t="s">
        <v>300</v>
      </c>
      <c r="E7" s="33" t="s">
        <v>298</v>
      </c>
      <c r="F7" s="33" t="s">
        <v>300</v>
      </c>
      <c r="G7" s="30" t="s">
        <v>318</v>
      </c>
      <c r="H7" s="33">
        <v>12.0</v>
      </c>
      <c r="I7" s="33" t="s">
        <v>320</v>
      </c>
      <c r="J7" s="30" t="s">
        <v>321</v>
      </c>
    </row>
    <row r="8" ht="55.5" customHeight="1">
      <c r="A8" s="29" t="s">
        <v>322</v>
      </c>
      <c r="B8" s="30" t="s">
        <v>323</v>
      </c>
      <c r="C8" s="32" t="s">
        <v>87</v>
      </c>
      <c r="D8" s="33" t="s">
        <v>298</v>
      </c>
      <c r="E8" s="33" t="s">
        <v>298</v>
      </c>
      <c r="F8" s="33" t="s">
        <v>300</v>
      </c>
      <c r="G8" s="30" t="s">
        <v>325</v>
      </c>
      <c r="H8" s="33">
        <v>16.0</v>
      </c>
      <c r="I8" s="33" t="s">
        <v>326</v>
      </c>
      <c r="J8" s="30" t="s">
        <v>328</v>
      </c>
    </row>
    <row r="9" ht="55.5" customHeight="1">
      <c r="A9" s="29" t="s">
        <v>329</v>
      </c>
      <c r="B9" s="30" t="s">
        <v>330</v>
      </c>
      <c r="C9" s="32" t="s">
        <v>87</v>
      </c>
      <c r="D9" s="33" t="s">
        <v>331</v>
      </c>
      <c r="E9" s="33" t="s">
        <v>298</v>
      </c>
      <c r="F9" s="33" t="s">
        <v>300</v>
      </c>
      <c r="G9" s="30" t="s">
        <v>332</v>
      </c>
      <c r="H9" s="33">
        <v>8.0</v>
      </c>
      <c r="I9" s="33" t="s">
        <v>333</v>
      </c>
      <c r="J9" s="30" t="s">
        <v>335</v>
      </c>
    </row>
    <row r="10" ht="55.5" customHeight="1">
      <c r="A10" s="29" t="s">
        <v>336</v>
      </c>
      <c r="B10" s="30" t="s">
        <v>337</v>
      </c>
      <c r="C10" s="32" t="s">
        <v>87</v>
      </c>
      <c r="D10" s="33" t="s">
        <v>338</v>
      </c>
      <c r="E10" s="33" t="s">
        <v>298</v>
      </c>
      <c r="F10" s="33" t="s">
        <v>300</v>
      </c>
      <c r="G10" s="30" t="s">
        <v>339</v>
      </c>
      <c r="H10" s="33">
        <v>10.0</v>
      </c>
      <c r="I10" s="33" t="s">
        <v>342</v>
      </c>
      <c r="J10" s="30" t="s">
        <v>343</v>
      </c>
    </row>
    <row r="11" ht="55.5" customHeight="1">
      <c r="A11" s="43" t="s">
        <v>345</v>
      </c>
      <c r="B11" s="44" t="s">
        <v>349</v>
      </c>
      <c r="C11" s="45" t="s">
        <v>353</v>
      </c>
      <c r="D11" s="46" t="s">
        <v>357</v>
      </c>
      <c r="E11" s="46" t="s">
        <v>357</v>
      </c>
      <c r="F11" s="46" t="s">
        <v>357</v>
      </c>
      <c r="G11" s="44" t="s">
        <v>361</v>
      </c>
      <c r="H11" s="46">
        <v>0.0</v>
      </c>
      <c r="I11" s="46" t="s">
        <v>357</v>
      </c>
      <c r="J11" s="44" t="s">
        <v>362</v>
      </c>
    </row>
    <row r="12" ht="55.5" customHeight="1">
      <c r="A12" s="43" t="s">
        <v>365</v>
      </c>
      <c r="B12" s="44" t="s">
        <v>366</v>
      </c>
      <c r="C12" s="45" t="s">
        <v>353</v>
      </c>
      <c r="D12" s="46" t="s">
        <v>357</v>
      </c>
      <c r="E12" s="46" t="s">
        <v>357</v>
      </c>
      <c r="F12" s="46" t="s">
        <v>357</v>
      </c>
      <c r="G12" s="44" t="s">
        <v>368</v>
      </c>
      <c r="H12" s="46">
        <v>0.0</v>
      </c>
      <c r="I12" s="46" t="s">
        <v>357</v>
      </c>
      <c r="J12" s="44" t="s">
        <v>362</v>
      </c>
    </row>
    <row r="14" ht="36.0" customHeight="1">
      <c r="A14" s="48" t="s">
        <v>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3:J3"/>
    <mergeCell ref="A14:J14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36.0"/>
    <col customWidth="1" min="2" max="3" width="10.0"/>
    <col customWidth="1" min="4" max="4" width="12.0"/>
    <col customWidth="1" min="5" max="5" width="10.0"/>
    <col customWidth="1" min="6" max="8" width="12.0"/>
    <col customWidth="1" min="9" max="10" width="11.0"/>
    <col customWidth="1" min="11" max="11" width="12.0"/>
    <col customWidth="1" min="12" max="12" width="30.0"/>
    <col customWidth="1" min="13" max="26" width="8.71"/>
  </cols>
  <sheetData>
    <row r="1" ht="36.0" customHeight="1">
      <c r="A1" s="50" t="s">
        <v>388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18.0" customHeight="1">
      <c r="A2" s="51" t="s">
        <v>400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ht="7.5" customHeight="1"/>
    <row r="4" ht="15.75" customHeight="1">
      <c r="A4" s="52" t="s">
        <v>409</v>
      </c>
      <c r="B4" s="53" t="s">
        <v>411</v>
      </c>
      <c r="H4" s="54" t="s">
        <v>414</v>
      </c>
    </row>
    <row r="5" ht="15.75" customHeight="1">
      <c r="A5" s="52" t="s">
        <v>419</v>
      </c>
      <c r="B5" s="53" t="s">
        <v>420</v>
      </c>
      <c r="H5" s="55">
        <f>'Julio - R&amp;D Tracker'!E68</f>
        <v>675</v>
      </c>
    </row>
    <row r="6" ht="15.75" customHeight="1">
      <c r="A6" s="52" t="s">
        <v>444</v>
      </c>
      <c r="B6" s="53" t="s">
        <v>445</v>
      </c>
      <c r="H6" s="56" t="s">
        <v>448</v>
      </c>
    </row>
    <row r="7" ht="15.75" customHeight="1">
      <c r="A7" s="52" t="s">
        <v>451</v>
      </c>
      <c r="B7" s="53" t="s">
        <v>452</v>
      </c>
    </row>
    <row r="8" ht="15.75" customHeight="1">
      <c r="A8" s="52" t="s">
        <v>455</v>
      </c>
      <c r="B8" s="53" t="s">
        <v>456</v>
      </c>
    </row>
    <row r="9" ht="9.75" customHeight="1">
      <c r="A9" s="52" t="s">
        <v>458</v>
      </c>
      <c r="B9" s="53" t="s">
        <v>459</v>
      </c>
    </row>
    <row r="10" ht="24.0" customHeight="1">
      <c r="A10" s="57" t="s">
        <v>463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ht="36.0" customHeight="1">
      <c r="A11" s="28" t="s">
        <v>468</v>
      </c>
      <c r="B11" s="28" t="s">
        <v>469</v>
      </c>
      <c r="C11" s="28" t="s">
        <v>472</v>
      </c>
      <c r="D11" s="28" t="s">
        <v>473</v>
      </c>
      <c r="E11" s="28" t="s">
        <v>475</v>
      </c>
      <c r="F11" s="28" t="s">
        <v>477</v>
      </c>
      <c r="G11" s="28" t="s">
        <v>478</v>
      </c>
      <c r="H11" s="28" t="s">
        <v>479</v>
      </c>
      <c r="I11" s="28" t="s">
        <v>482</v>
      </c>
      <c r="J11" s="28" t="s">
        <v>484</v>
      </c>
      <c r="K11" s="28" t="s">
        <v>486</v>
      </c>
      <c r="L11" s="58" t="s">
        <v>487</v>
      </c>
      <c r="M11" s="59" t="s">
        <v>492</v>
      </c>
    </row>
    <row r="12" ht="19.5" customHeight="1">
      <c r="A12" s="61" t="s">
        <v>493</v>
      </c>
      <c r="B12" s="63" t="s">
        <v>495</v>
      </c>
      <c r="C12" s="63" t="s">
        <v>496</v>
      </c>
      <c r="D12" s="64" t="s">
        <v>497</v>
      </c>
      <c r="E12" s="65">
        <v>80.0</v>
      </c>
      <c r="F12" s="65">
        <v>120.0</v>
      </c>
      <c r="G12" s="65">
        <v>60.0</v>
      </c>
      <c r="H12" s="65">
        <v>40.0</v>
      </c>
      <c r="I12" s="65">
        <v>60.0</v>
      </c>
      <c r="J12" s="68">
        <f t="shared" ref="J12:J21" si="1">SUM(E12:I12)</f>
        <v>360</v>
      </c>
      <c r="K12" s="69">
        <f>J12*0.85</f>
        <v>306</v>
      </c>
      <c r="L12" s="70">
        <f>SUMIF('Julio - R&amp;D Tracker'!$C$6:$C$67, "*"&amp;LEFT(A12,7)&amp;"*", 'Julio - R&amp;D Tracker'!$E$6:$E$67)</f>
        <v>0</v>
      </c>
    </row>
    <row r="13" ht="19.5" customHeight="1">
      <c r="A13" s="71" t="s">
        <v>499</v>
      </c>
      <c r="B13" s="72" t="s">
        <v>500</v>
      </c>
      <c r="C13" s="72" t="s">
        <v>501</v>
      </c>
      <c r="D13" s="64" t="s">
        <v>497</v>
      </c>
      <c r="E13" s="73">
        <v>280.0</v>
      </c>
      <c r="F13" s="73">
        <v>60.0</v>
      </c>
      <c r="G13" s="73">
        <v>30.0</v>
      </c>
      <c r="H13" s="73">
        <v>80.0</v>
      </c>
      <c r="I13" s="73">
        <v>50.0</v>
      </c>
      <c r="J13" s="68">
        <f t="shared" si="1"/>
        <v>500</v>
      </c>
      <c r="K13" s="69">
        <f t="shared" ref="K13:K14" si="2">J13*0.9</f>
        <v>450</v>
      </c>
      <c r="L13" s="70">
        <f>SUMIF('Julio - R&amp;D Tracker'!$C$6:$C$67, "*"&amp;LEFT(A13,7)&amp;"*", 'Julio - R&amp;D Tracker'!$E$6:$E$67)</f>
        <v>14</v>
      </c>
    </row>
    <row r="14" ht="19.5" customHeight="1">
      <c r="A14" s="61" t="s">
        <v>502</v>
      </c>
      <c r="B14" s="63" t="s">
        <v>501</v>
      </c>
      <c r="C14" s="63" t="s">
        <v>503</v>
      </c>
      <c r="D14" s="64" t="s">
        <v>497</v>
      </c>
      <c r="E14" s="65">
        <v>220.0</v>
      </c>
      <c r="F14" s="65">
        <v>40.0</v>
      </c>
      <c r="G14" s="65">
        <v>20.0</v>
      </c>
      <c r="H14" s="65">
        <v>100.0</v>
      </c>
      <c r="I14" s="65">
        <v>40.0</v>
      </c>
      <c r="J14" s="68">
        <f t="shared" si="1"/>
        <v>420</v>
      </c>
      <c r="K14" s="69">
        <f t="shared" si="2"/>
        <v>378</v>
      </c>
      <c r="L14" s="70">
        <f>SUMIF('Julio - R&amp;D Tracker'!$C$6:$C$67, "*"&amp;LEFT(A14,7)&amp;"*", 'Julio - R&amp;D Tracker'!$E$6:$E$67)</f>
        <v>52</v>
      </c>
    </row>
    <row r="15" ht="19.5" customHeight="1">
      <c r="A15" s="71" t="s">
        <v>504</v>
      </c>
      <c r="B15" s="72" t="s">
        <v>503</v>
      </c>
      <c r="C15" s="72" t="s">
        <v>505</v>
      </c>
      <c r="D15" s="64" t="s">
        <v>497</v>
      </c>
      <c r="E15" s="73">
        <v>60.0</v>
      </c>
      <c r="F15" s="73">
        <v>340.0</v>
      </c>
      <c r="G15" s="73">
        <v>80.0</v>
      </c>
      <c r="H15" s="73">
        <v>60.0</v>
      </c>
      <c r="I15" s="73">
        <v>80.0</v>
      </c>
      <c r="J15" s="68">
        <f t="shared" si="1"/>
        <v>620</v>
      </c>
      <c r="K15" s="69">
        <f>J15*0.75</f>
        <v>465</v>
      </c>
      <c r="L15" s="70">
        <f>SUMIF('Julio - R&amp;D Tracker'!$C$6:$C$67, "*"&amp;LEFT(A15,7)&amp;"*", 'Julio - R&amp;D Tracker'!$E$6:$E$67)</f>
        <v>70</v>
      </c>
    </row>
    <row r="16" ht="19.5" customHeight="1">
      <c r="A16" s="61" t="s">
        <v>506</v>
      </c>
      <c r="B16" s="63" t="s">
        <v>505</v>
      </c>
      <c r="C16" s="63" t="s">
        <v>507</v>
      </c>
      <c r="D16" s="64" t="s">
        <v>497</v>
      </c>
      <c r="E16" s="65">
        <v>180.0</v>
      </c>
      <c r="F16" s="65">
        <v>80.0</v>
      </c>
      <c r="G16" s="65">
        <v>60.0</v>
      </c>
      <c r="H16" s="65">
        <v>90.0</v>
      </c>
      <c r="I16" s="65">
        <v>50.0</v>
      </c>
      <c r="J16" s="68">
        <f t="shared" si="1"/>
        <v>460</v>
      </c>
      <c r="K16" s="69">
        <f>J16*0.85</f>
        <v>391</v>
      </c>
      <c r="L16" s="70">
        <f>SUMIF('Julio - R&amp;D Tracker'!$C$6:$C$67, "*"&amp;LEFT(A16,7)&amp;"*", 'Julio - R&amp;D Tracker'!$E$6:$E$67)</f>
        <v>54</v>
      </c>
    </row>
    <row r="17" ht="19.5" customHeight="1">
      <c r="A17" s="71" t="s">
        <v>508</v>
      </c>
      <c r="B17" s="72" t="s">
        <v>507</v>
      </c>
      <c r="C17" s="72" t="s">
        <v>509</v>
      </c>
      <c r="D17" s="64" t="s">
        <v>497</v>
      </c>
      <c r="E17" s="73">
        <v>160.0</v>
      </c>
      <c r="F17" s="73">
        <v>40.0</v>
      </c>
      <c r="G17" s="73">
        <v>80.0</v>
      </c>
      <c r="H17" s="73">
        <v>120.0</v>
      </c>
      <c r="I17" s="73">
        <v>60.0</v>
      </c>
      <c r="J17" s="68">
        <f t="shared" si="1"/>
        <v>460</v>
      </c>
      <c r="K17" s="69">
        <f>J17*0.88</f>
        <v>404.8</v>
      </c>
      <c r="L17" s="70">
        <f>SUMIF('Julio - R&amp;D Tracker'!$C$6:$C$67, "*"&amp;LEFT(A17,7)&amp;"*", 'Julio - R&amp;D Tracker'!$E$6:$E$67)</f>
        <v>52</v>
      </c>
    </row>
    <row r="18" ht="19.5" customHeight="1">
      <c r="A18" s="61" t="s">
        <v>510</v>
      </c>
      <c r="B18" s="63" t="s">
        <v>509</v>
      </c>
      <c r="C18" s="63" t="s">
        <v>511</v>
      </c>
      <c r="D18" s="64" t="s">
        <v>497</v>
      </c>
      <c r="E18" s="65">
        <v>200.0</v>
      </c>
      <c r="F18" s="65">
        <v>30.0</v>
      </c>
      <c r="G18" s="65">
        <v>40.0</v>
      </c>
      <c r="H18" s="65">
        <v>80.0</v>
      </c>
      <c r="I18" s="65">
        <v>60.0</v>
      </c>
      <c r="J18" s="68">
        <f t="shared" si="1"/>
        <v>410</v>
      </c>
      <c r="K18" s="69">
        <f>J18*0.9</f>
        <v>369</v>
      </c>
      <c r="L18" s="70">
        <f>SUMIF('Julio - R&amp;D Tracker'!$C$6:$C$67, "*"&amp;LEFT(A18,7)&amp;"*", 'Julio - R&amp;D Tracker'!$E$6:$E$67)</f>
        <v>30</v>
      </c>
    </row>
    <row r="19" ht="19.5" customHeight="1">
      <c r="A19" s="71" t="s">
        <v>512</v>
      </c>
      <c r="B19" s="72" t="s">
        <v>511</v>
      </c>
      <c r="C19" s="72" t="s">
        <v>513</v>
      </c>
      <c r="D19" s="74" t="s">
        <v>514</v>
      </c>
      <c r="E19" s="73">
        <v>160.0</v>
      </c>
      <c r="F19" s="73">
        <v>40.0</v>
      </c>
      <c r="G19" s="73">
        <v>100.0</v>
      </c>
      <c r="H19" s="73">
        <v>80.0</v>
      </c>
      <c r="I19" s="73">
        <v>50.0</v>
      </c>
      <c r="J19" s="68">
        <f t="shared" si="1"/>
        <v>430</v>
      </c>
      <c r="K19" s="69">
        <f>J19*0.88</f>
        <v>378.4</v>
      </c>
      <c r="L19" s="70">
        <f>SUMIF('Julio - R&amp;D Tracker'!$C$6:$C$67, "*"&amp;LEFT(A19,7)&amp;"*", 'Julio - R&amp;D Tracker'!$E$6:$E$67)</f>
        <v>28</v>
      </c>
    </row>
    <row r="20" ht="19.5" customHeight="1">
      <c r="A20" s="61" t="s">
        <v>515</v>
      </c>
      <c r="B20" s="63" t="s">
        <v>513</v>
      </c>
      <c r="C20" s="63" t="s">
        <v>516</v>
      </c>
      <c r="D20" s="74" t="s">
        <v>514</v>
      </c>
      <c r="E20" s="65">
        <v>240.0</v>
      </c>
      <c r="F20" s="65">
        <v>20.0</v>
      </c>
      <c r="G20" s="65">
        <v>20.0</v>
      </c>
      <c r="H20" s="65">
        <v>60.0</v>
      </c>
      <c r="I20" s="65">
        <v>40.0</v>
      </c>
      <c r="J20" s="68">
        <f t="shared" si="1"/>
        <v>380</v>
      </c>
      <c r="K20" s="69">
        <f>J20*0.9</f>
        <v>342</v>
      </c>
      <c r="L20" s="70">
        <f>SUMIF('Julio - R&amp;D Tracker'!$C$6:$C$67, "*"&amp;LEFT(A20,7)&amp;"*", 'Julio - R&amp;D Tracker'!$E$6:$E$67)</f>
        <v>20</v>
      </c>
    </row>
    <row r="21" ht="19.5" customHeight="1">
      <c r="A21" s="71" t="s">
        <v>517</v>
      </c>
      <c r="B21" s="72" t="s">
        <v>516</v>
      </c>
      <c r="C21" s="72" t="s">
        <v>518</v>
      </c>
      <c r="D21" s="75" t="s">
        <v>519</v>
      </c>
      <c r="E21" s="73">
        <v>120.0</v>
      </c>
      <c r="F21" s="73">
        <v>80.0</v>
      </c>
      <c r="G21" s="73">
        <v>60.0</v>
      </c>
      <c r="H21" s="73">
        <v>200.0</v>
      </c>
      <c r="I21" s="73">
        <v>80.0</v>
      </c>
      <c r="J21" s="68">
        <f t="shared" si="1"/>
        <v>540</v>
      </c>
      <c r="K21" s="69">
        <f>J21*0.8</f>
        <v>432</v>
      </c>
      <c r="L21" s="70">
        <f>SUMIF('Julio - R&amp;D Tracker'!$C$6:$C$67, "*"&amp;LEFT(A21,7)&amp;"*", 'Julio - R&amp;D Tracker'!$E$6:$E$67)</f>
        <v>0</v>
      </c>
    </row>
    <row r="22" ht="21.75" customHeight="1">
      <c r="A22" s="76" t="s">
        <v>520</v>
      </c>
      <c r="B22" s="77"/>
      <c r="C22" s="77"/>
      <c r="D22" s="77"/>
      <c r="E22" s="78">
        <f t="shared" ref="E22:L22" si="3">SUM(E12:E21)</f>
        <v>1700</v>
      </c>
      <c r="F22" s="78">
        <f t="shared" si="3"/>
        <v>850</v>
      </c>
      <c r="G22" s="78">
        <f t="shared" si="3"/>
        <v>550</v>
      </c>
      <c r="H22" s="78">
        <f t="shared" si="3"/>
        <v>910</v>
      </c>
      <c r="I22" s="78">
        <f t="shared" si="3"/>
        <v>570</v>
      </c>
      <c r="J22" s="78">
        <f t="shared" si="3"/>
        <v>4580</v>
      </c>
      <c r="K22" s="78">
        <f t="shared" si="3"/>
        <v>3916.2</v>
      </c>
      <c r="L22" s="79">
        <f t="shared" si="3"/>
        <v>320</v>
      </c>
    </row>
    <row r="23" ht="15.75" customHeight="1"/>
    <row r="24" ht="15.75" customHeight="1">
      <c r="A24" s="80" t="s">
        <v>521</v>
      </c>
    </row>
    <row r="25" ht="15.75" customHeight="1">
      <c r="A25" s="81" t="s">
        <v>522</v>
      </c>
      <c r="B25" s="3"/>
      <c r="C25" s="3"/>
      <c r="D25" s="4"/>
    </row>
    <row r="26" ht="15.75" customHeight="1">
      <c r="A26" s="82" t="s">
        <v>523</v>
      </c>
      <c r="B26" s="3"/>
      <c r="C26" s="3"/>
      <c r="D26" s="4"/>
    </row>
    <row r="27" ht="15.75" customHeight="1">
      <c r="A27" s="83" t="s">
        <v>524</v>
      </c>
      <c r="B27" s="3"/>
      <c r="C27" s="3"/>
      <c r="D27" s="4"/>
    </row>
    <row r="28" ht="15.75" customHeight="1">
      <c r="A28" s="84" t="s">
        <v>525</v>
      </c>
      <c r="B28" s="3"/>
      <c r="C28" s="3"/>
      <c r="D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L1"/>
    <mergeCell ref="A2:L2"/>
    <mergeCell ref="B4:F4"/>
    <mergeCell ref="H4:K4"/>
    <mergeCell ref="B5:F5"/>
    <mergeCell ref="H5:K5"/>
    <mergeCell ref="H6:K6"/>
    <mergeCell ref="A26:D26"/>
    <mergeCell ref="A27:D27"/>
    <mergeCell ref="A28:D28"/>
    <mergeCell ref="B6:F6"/>
    <mergeCell ref="B7:F7"/>
    <mergeCell ref="B8:F8"/>
    <mergeCell ref="B9:F9"/>
    <mergeCell ref="A10:L10"/>
    <mergeCell ref="A24:C24"/>
    <mergeCell ref="A25:D25"/>
  </mergeCells>
  <printOptions/>
  <pageMargins bottom="1.0" footer="0.0" header="0.0" left="0.75" right="0.75" top="1.0"/>
  <pageSetup paperSize="9" orientation="portrait"/>
  <drawing r:id="rId1"/>
</worksheet>
</file>