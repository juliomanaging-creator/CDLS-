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Comparison" sheetId="1" state="visible" r:id="rId1"/>
    <sheet xmlns:r="http://schemas.openxmlformats.org/officeDocument/2006/relationships" name="Cost Calculator" sheetId="2" state="visible" r:id="rId2"/>
    <sheet xmlns:r="http://schemas.openxmlformats.org/officeDocument/2006/relationships" name="Charging Networks" sheetId="3" state="visible" r:id="rId3"/>
    <sheet xmlns:r="http://schemas.openxmlformats.org/officeDocument/2006/relationships" name="TOU Schedules" sheetId="4" state="visible" r:id="rId4"/>
    <sheet xmlns:r="http://schemas.openxmlformats.org/officeDocument/2006/relationships" name="Annual Projections" sheetId="5" state="visible" r:id="rId5"/>
    <sheet xmlns:r="http://schemas.openxmlformats.org/officeDocument/2006/relationships" name="Data Sourc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0.000"/>
    <numFmt numFmtId="167" formatCode="$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  <font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164" fontId="2" fillId="0" borderId="0" pivotButton="0" quotePrefix="0" xfId="0"/>
    <xf numFmtId="0" fontId="5" fillId="6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165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2" customWidth="1" min="4" max="4"/>
    <col width="14" customWidth="1" min="5" max="5"/>
    <col width="18" customWidth="1" min="6" max="6"/>
    <col width="17" customWidth="1" min="7" max="7"/>
    <col width="18" customWidth="1" min="8" max="8"/>
    <col width="18" customWidth="1" min="9" max="9"/>
    <col width="18" customWidth="1" min="10" max="10"/>
    <col width="20" customWidth="1" min="11" max="11"/>
    <col width="22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City</t>
        </is>
      </c>
      <c r="B1" s="1" t="inlineStr">
        <is>
          <t>County</t>
        </is>
      </c>
      <c r="C1" s="1" t="inlineStr">
        <is>
          <t>Region</t>
        </is>
      </c>
      <c r="D1" s="1" t="inlineStr">
        <is>
          <t>Utility Provider</t>
        </is>
      </c>
      <c r="E1" s="1" t="inlineStr">
        <is>
          <t>Diesel ($/gal)</t>
        </is>
      </c>
      <c r="F1" s="1" t="inlineStr">
        <is>
          <t>Level 2 Private ($/kWh)</t>
        </is>
      </c>
      <c r="G1" s="1" t="inlineStr">
        <is>
          <t>Level 2 Public ($/kWh)</t>
        </is>
      </c>
      <c r="H1" s="1" t="inlineStr">
        <is>
          <t>DC Fast 50kW ($/kWh)</t>
        </is>
      </c>
      <c r="I1" s="1" t="inlineStr">
        <is>
          <t>DC Fast 150kW ($/kWh)</t>
        </is>
      </c>
      <c r="J1" s="1" t="inlineStr">
        <is>
          <t>DC Fast 350kW ($/kWh)</t>
        </is>
      </c>
      <c r="K1" s="1" t="inlineStr">
        <is>
          <t>Commercial Peak ($/kWh)</t>
        </is>
      </c>
      <c r="L1" s="1" t="inlineStr">
        <is>
          <t>Commercial Off-Peak ($/kWh)</t>
        </is>
      </c>
      <c r="M1" s="1" t="inlineStr">
        <is>
          <t>Demand Charge ($/kW)</t>
        </is>
      </c>
      <c r="N1" s="1" t="inlineStr">
        <is>
          <t>Public Stations</t>
        </is>
      </c>
      <c r="O1" s="1" t="inlineStr">
        <is>
          <t>DC Fast Stations</t>
        </is>
      </c>
    </row>
    <row r="2">
      <c r="A2" t="inlineStr">
        <is>
          <t>Sacramento</t>
        </is>
      </c>
      <c r="B2" t="inlineStr">
        <is>
          <t>Sacramento</t>
        </is>
      </c>
      <c r="C2" t="inlineStr">
        <is>
          <t>Central Valley</t>
        </is>
      </c>
      <c r="D2" t="inlineStr">
        <is>
          <t>SMUD</t>
        </is>
      </c>
      <c r="E2" s="2" t="n">
        <v>4.89</v>
      </c>
      <c r="F2" s="2" t="n">
        <v>0.15</v>
      </c>
      <c r="G2" s="2" t="n">
        <v>0.28</v>
      </c>
      <c r="H2" s="2" t="n">
        <v>0.45</v>
      </c>
      <c r="I2" s="2" t="n">
        <v>0.52</v>
      </c>
      <c r="J2" s="2" t="n">
        <v>0.58</v>
      </c>
      <c r="K2" s="2" t="n">
        <v>0.32</v>
      </c>
      <c r="L2" s="2" t="n">
        <v>0.12</v>
      </c>
      <c r="M2" s="2" t="n">
        <v>18.5</v>
      </c>
      <c r="N2" t="n">
        <v>187</v>
      </c>
      <c r="O2" t="n">
        <v>42</v>
      </c>
    </row>
    <row r="3">
      <c r="A3" t="inlineStr">
        <is>
          <t>Stockton</t>
        </is>
      </c>
      <c r="B3" t="inlineStr">
        <is>
          <t>San Joaquin</t>
        </is>
      </c>
      <c r="C3" t="inlineStr">
        <is>
          <t>Central Valley</t>
        </is>
      </c>
      <c r="D3" t="inlineStr">
        <is>
          <t>PG&amp;E</t>
        </is>
      </c>
      <c r="E3" s="2" t="n">
        <v>4.76</v>
      </c>
      <c r="F3" s="2" t="n">
        <v>0.16</v>
      </c>
      <c r="G3" s="2" t="n">
        <v>0.29</v>
      </c>
      <c r="H3" s="2" t="n">
        <v>0.43</v>
      </c>
      <c r="I3" s="2" t="n">
        <v>0.49</v>
      </c>
      <c r="J3" s="2" t="n">
        <v>0.5600000000000001</v>
      </c>
      <c r="K3" s="2" t="n">
        <v>0.34</v>
      </c>
      <c r="L3" s="2" t="n">
        <v>0.13</v>
      </c>
      <c r="M3" s="2" t="n">
        <v>19.25</v>
      </c>
      <c r="N3" t="n">
        <v>98</v>
      </c>
      <c r="O3" t="n">
        <v>23</v>
      </c>
    </row>
    <row r="4">
      <c r="A4" t="inlineStr">
        <is>
          <t>Modesto</t>
        </is>
      </c>
      <c r="B4" t="inlineStr">
        <is>
          <t>Stanislaus</t>
        </is>
      </c>
      <c r="C4" t="inlineStr">
        <is>
          <t>Central Valley</t>
        </is>
      </c>
      <c r="D4" t="inlineStr">
        <is>
          <t>MID</t>
        </is>
      </c>
      <c r="E4" s="2" t="n">
        <v>4.68</v>
      </c>
      <c r="F4" s="2" t="n">
        <v>0.17</v>
      </c>
      <c r="G4" s="2" t="n">
        <v>0.31</v>
      </c>
      <c r="H4" s="2" t="n">
        <v>0.46</v>
      </c>
      <c r="I4" s="2" t="n">
        <v>0.51</v>
      </c>
      <c r="J4" s="2" t="n">
        <v>0.57</v>
      </c>
      <c r="K4" s="2" t="n">
        <v>0.29</v>
      </c>
      <c r="L4" s="2" t="n">
        <v>0.14</v>
      </c>
      <c r="M4" s="2" t="n">
        <v>16.8</v>
      </c>
      <c r="N4" t="n">
        <v>76</v>
      </c>
      <c r="O4" t="n">
        <v>18</v>
      </c>
    </row>
    <row r="5">
      <c r="A5" t="inlineStr">
        <is>
          <t>Fresno</t>
        </is>
      </c>
      <c r="B5" t="inlineStr">
        <is>
          <t>Fresno</t>
        </is>
      </c>
      <c r="C5" t="inlineStr">
        <is>
          <t>Central Valley</t>
        </is>
      </c>
      <c r="D5" t="inlineStr">
        <is>
          <t>PG&amp;E</t>
        </is>
      </c>
      <c r="E5" s="2" t="n">
        <v>4.72</v>
      </c>
      <c r="F5" s="2" t="n">
        <v>0.18</v>
      </c>
      <c r="G5" s="2" t="n">
        <v>0.3</v>
      </c>
      <c r="H5" s="2" t="n">
        <v>0.42</v>
      </c>
      <c r="I5" s="2" t="n">
        <v>0.48</v>
      </c>
      <c r="J5" s="2" t="n">
        <v>0.54</v>
      </c>
      <c r="K5" s="2" t="n">
        <v>0.33</v>
      </c>
      <c r="L5" s="2" t="n">
        <v>0.14</v>
      </c>
      <c r="M5" s="2" t="n">
        <v>18.9</v>
      </c>
      <c r="N5" t="n">
        <v>134</v>
      </c>
      <c r="O5" t="n">
        <v>31</v>
      </c>
    </row>
    <row r="6">
      <c r="A6" t="inlineStr">
        <is>
          <t>Bakersfield</t>
        </is>
      </c>
      <c r="B6" t="inlineStr">
        <is>
          <t>Kern</t>
        </is>
      </c>
      <c r="C6" t="inlineStr">
        <is>
          <t>Southern CA</t>
        </is>
      </c>
      <c r="D6" t="inlineStr">
        <is>
          <t>PG&amp;E</t>
        </is>
      </c>
      <c r="E6" s="2" t="n">
        <v>4.81</v>
      </c>
      <c r="F6" s="2" t="n">
        <v>0.16</v>
      </c>
      <c r="G6" s="2" t="n">
        <v>0.27</v>
      </c>
      <c r="H6" s="2" t="n">
        <v>0.41</v>
      </c>
      <c r="I6" s="2" t="n">
        <v>0.47</v>
      </c>
      <c r="J6" s="2" t="n">
        <v>0.53</v>
      </c>
      <c r="K6" s="2" t="n">
        <v>0.32</v>
      </c>
      <c r="L6" s="2" t="n">
        <v>0.13</v>
      </c>
      <c r="M6" s="2" t="n">
        <v>17.95</v>
      </c>
      <c r="N6" t="n">
        <v>89</v>
      </c>
      <c r="O6" t="n">
        <v>19</v>
      </c>
    </row>
    <row r="7">
      <c r="A7" t="inlineStr">
        <is>
          <t>Los Angeles</t>
        </is>
      </c>
      <c r="B7" t="inlineStr">
        <is>
          <t>Los Angeles</t>
        </is>
      </c>
      <c r="C7" t="inlineStr">
        <is>
          <t>Southern CA</t>
        </is>
      </c>
      <c r="D7" t="inlineStr">
        <is>
          <t>LADWP/SCE</t>
        </is>
      </c>
      <c r="E7" s="2" t="n">
        <v>5.23</v>
      </c>
      <c r="F7" s="2" t="n">
        <v>0.2</v>
      </c>
      <c r="G7" s="2" t="n">
        <v>0.35</v>
      </c>
      <c r="H7" s="2" t="n">
        <v>0.49</v>
      </c>
      <c r="I7" s="2" t="n">
        <v>0.5600000000000001</v>
      </c>
      <c r="J7" s="2" t="n">
        <v>0.63</v>
      </c>
      <c r="K7" s="2" t="n">
        <v>0.38</v>
      </c>
      <c r="L7" s="2" t="n">
        <v>0.16</v>
      </c>
      <c r="M7" s="2" t="n">
        <v>21.4</v>
      </c>
      <c r="N7" t="n">
        <v>1243</v>
      </c>
      <c r="O7" t="n">
        <v>287</v>
      </c>
    </row>
    <row r="8">
      <c r="A8" t="inlineStr">
        <is>
          <t>San Diego</t>
        </is>
      </c>
      <c r="B8" t="inlineStr">
        <is>
          <t>San Diego</t>
        </is>
      </c>
      <c r="C8" t="inlineStr">
        <is>
          <t>Southern CA</t>
        </is>
      </c>
      <c r="D8" t="inlineStr">
        <is>
          <t>SDG&amp;E</t>
        </is>
      </c>
      <c r="E8" s="2" t="n">
        <v>5.35</v>
      </c>
      <c r="F8" s="2" t="n">
        <v>0.22</v>
      </c>
      <c r="G8" s="2" t="n">
        <v>0.37</v>
      </c>
      <c r="H8" s="2" t="n">
        <v>0.52</v>
      </c>
      <c r="I8" s="2" t="n">
        <v>0.58</v>
      </c>
      <c r="J8" s="2" t="n">
        <v>0.65</v>
      </c>
      <c r="K8" s="2" t="n">
        <v>0.42</v>
      </c>
      <c r="L8" s="2" t="n">
        <v>0.18</v>
      </c>
      <c r="M8" s="2" t="n">
        <v>24.15</v>
      </c>
      <c r="N8" t="n">
        <v>876</v>
      </c>
      <c r="O8" t="n">
        <v>198</v>
      </c>
    </row>
    <row r="9">
      <c r="A9" t="inlineStr">
        <is>
          <t>San Jose</t>
        </is>
      </c>
      <c r="B9" t="inlineStr">
        <is>
          <t>Santa Clara</t>
        </is>
      </c>
      <c r="C9" t="inlineStr">
        <is>
          <t>Bay Area</t>
        </is>
      </c>
      <c r="D9" t="inlineStr">
        <is>
          <t>PG&amp;E</t>
        </is>
      </c>
      <c r="E9" s="2" t="n">
        <v>5.41</v>
      </c>
      <c r="F9" s="2" t="n">
        <v>0.19</v>
      </c>
      <c r="G9" s="2" t="n">
        <v>0.34</v>
      </c>
      <c r="H9" s="2" t="n">
        <v>0.48</v>
      </c>
      <c r="I9" s="2" t="n">
        <v>0.54</v>
      </c>
      <c r="J9" s="2" t="n">
        <v>0.61</v>
      </c>
      <c r="K9" s="2" t="n">
        <v>0.4</v>
      </c>
      <c r="L9" s="2" t="n">
        <v>0.17</v>
      </c>
      <c r="M9" s="2" t="n">
        <v>22.8</v>
      </c>
      <c r="N9" t="n">
        <v>1087</v>
      </c>
      <c r="O9" t="n">
        <v>243</v>
      </c>
    </row>
    <row r="10">
      <c r="A10" t="inlineStr">
        <is>
          <t>San Francisco</t>
        </is>
      </c>
      <c r="B10" t="inlineStr">
        <is>
          <t>San Francisco</t>
        </is>
      </c>
      <c r="C10" t="inlineStr">
        <is>
          <t>Bay Area</t>
        </is>
      </c>
      <c r="D10" t="inlineStr">
        <is>
          <t>PG&amp;E</t>
        </is>
      </c>
      <c r="E10" s="2" t="n">
        <v>5.52</v>
      </c>
      <c r="F10" s="2" t="n">
        <v>0.21</v>
      </c>
      <c r="G10" s="2" t="n">
        <v>0.36</v>
      </c>
      <c r="H10" s="2" t="n">
        <v>0.51</v>
      </c>
      <c r="I10" s="2" t="n">
        <v>0.57</v>
      </c>
      <c r="J10" s="2" t="n">
        <v>0.64</v>
      </c>
      <c r="K10" s="2" t="n">
        <v>0.41</v>
      </c>
      <c r="L10" s="2" t="n">
        <v>0.18</v>
      </c>
      <c r="M10" s="2" t="n">
        <v>23.5</v>
      </c>
      <c r="N10" t="n">
        <v>894</v>
      </c>
      <c r="O10" t="n">
        <v>201</v>
      </c>
    </row>
    <row r="11">
      <c r="A11" t="inlineStr">
        <is>
          <t>Oakland</t>
        </is>
      </c>
      <c r="B11" t="inlineStr">
        <is>
          <t>Alameda</t>
        </is>
      </c>
      <c r="C11" t="inlineStr">
        <is>
          <t>Bay Area</t>
        </is>
      </c>
      <c r="D11" t="inlineStr">
        <is>
          <t>PG&amp;E</t>
        </is>
      </c>
      <c r="E11" s="2" t="n">
        <v>5.29</v>
      </c>
      <c r="F11" s="2" t="n">
        <v>0.21</v>
      </c>
      <c r="G11" s="2" t="n">
        <v>0.35</v>
      </c>
      <c r="H11" s="2" t="n">
        <v>0.5</v>
      </c>
      <c r="I11" s="2" t="n">
        <v>0.57</v>
      </c>
      <c r="J11" s="2" t="n">
        <v>0.63</v>
      </c>
      <c r="K11" s="2" t="n">
        <v>0.39</v>
      </c>
      <c r="L11" s="2" t="n">
        <v>0.17</v>
      </c>
      <c r="M11" s="2" t="n">
        <v>22.1</v>
      </c>
      <c r="N11" t="n">
        <v>567</v>
      </c>
      <c r="O11" t="n">
        <v>134</v>
      </c>
    </row>
    <row r="12">
      <c r="A12" t="inlineStr">
        <is>
          <t>Riverside</t>
        </is>
      </c>
      <c r="B12" t="inlineStr">
        <is>
          <t>Riverside</t>
        </is>
      </c>
      <c r="C12" t="inlineStr">
        <is>
          <t>Southern CA</t>
        </is>
      </c>
      <c r="D12" t="inlineStr">
        <is>
          <t>SCE</t>
        </is>
      </c>
      <c r="E12" s="2" t="n">
        <v>4.94</v>
      </c>
      <c r="F12" s="2" t="n">
        <v>0.17</v>
      </c>
      <c r="G12" s="2" t="n">
        <v>0.3</v>
      </c>
      <c r="H12" s="2" t="n">
        <v>0.44</v>
      </c>
      <c r="I12" s="2" t="n">
        <v>0.5</v>
      </c>
      <c r="J12" s="2" t="n">
        <v>0.5600000000000001</v>
      </c>
      <c r="K12" s="2" t="n">
        <v>0.35</v>
      </c>
      <c r="L12" s="2" t="n">
        <v>0.15</v>
      </c>
      <c r="M12" s="2" t="n">
        <v>19.75</v>
      </c>
      <c r="N12" t="n">
        <v>312</v>
      </c>
      <c r="O12" t="n">
        <v>71</v>
      </c>
    </row>
    <row r="13">
      <c r="A13" t="inlineStr">
        <is>
          <t>Santa Ana</t>
        </is>
      </c>
      <c r="B13" t="inlineStr">
        <is>
          <t>Orange</t>
        </is>
      </c>
      <c r="C13" t="inlineStr">
        <is>
          <t>Southern CA</t>
        </is>
      </c>
      <c r="D13" t="inlineStr">
        <is>
          <t>SCE</t>
        </is>
      </c>
      <c r="E13" s="2" t="n">
        <v>5.18</v>
      </c>
      <c r="F13" s="2" t="n">
        <v>0.19</v>
      </c>
      <c r="G13" s="2" t="n">
        <v>0.33</v>
      </c>
      <c r="H13" s="2" t="n">
        <v>0.47</v>
      </c>
      <c r="I13" s="2" t="n">
        <v>0.53</v>
      </c>
      <c r="J13" s="2" t="n">
        <v>0.6</v>
      </c>
      <c r="K13" s="2" t="n">
        <v>0.37</v>
      </c>
      <c r="L13" s="2" t="n">
        <v>0.16</v>
      </c>
      <c r="M13" s="2" t="n">
        <v>20.85</v>
      </c>
      <c r="N13" t="n">
        <v>498</v>
      </c>
      <c r="O13" t="n">
        <v>112</v>
      </c>
    </row>
    <row r="14">
      <c r="A14" t="inlineStr">
        <is>
          <t>Anaheim</t>
        </is>
      </c>
      <c r="B14" t="inlineStr">
        <is>
          <t>Orange</t>
        </is>
      </c>
      <c r="C14" t="inlineStr">
        <is>
          <t>Southern CA</t>
        </is>
      </c>
      <c r="D14" t="inlineStr">
        <is>
          <t>Anaheim Public Utilities</t>
        </is>
      </c>
      <c r="E14" s="2" t="n">
        <v>5.15</v>
      </c>
      <c r="F14" s="2" t="n">
        <v>0.16</v>
      </c>
      <c r="G14" s="2" t="n">
        <v>0.29</v>
      </c>
      <c r="H14" s="2" t="n">
        <v>0.43</v>
      </c>
      <c r="I14" s="2" t="n">
        <v>0.49</v>
      </c>
      <c r="J14" s="2" t="n">
        <v>0.55</v>
      </c>
      <c r="K14" s="2" t="n">
        <v>0.31</v>
      </c>
      <c r="L14" s="2" t="n">
        <v>0.14</v>
      </c>
      <c r="M14" s="2" t="n">
        <v>17.2</v>
      </c>
      <c r="N14" t="n">
        <v>287</v>
      </c>
      <c r="O14" t="n">
        <v>64</v>
      </c>
    </row>
    <row r="15">
      <c r="A15" t="inlineStr">
        <is>
          <t>Long Beach</t>
        </is>
      </c>
      <c r="B15" t="inlineStr">
        <is>
          <t>Los Angeles</t>
        </is>
      </c>
      <c r="C15" t="inlineStr">
        <is>
          <t>Southern CA</t>
        </is>
      </c>
      <c r="D15" t="inlineStr">
        <is>
          <t>SCE</t>
        </is>
      </c>
      <c r="E15" s="2" t="n">
        <v>5.26</v>
      </c>
      <c r="F15" s="2" t="n">
        <v>0.2</v>
      </c>
      <c r="G15" s="2" t="n">
        <v>0.34</v>
      </c>
      <c r="H15" s="2" t="n">
        <v>0.48</v>
      </c>
      <c r="I15" s="2" t="n">
        <v>0.55</v>
      </c>
      <c r="J15" s="2" t="n">
        <v>0.62</v>
      </c>
      <c r="K15" s="2" t="n">
        <v>0.38</v>
      </c>
      <c r="L15" s="2" t="n">
        <v>0.16</v>
      </c>
      <c r="M15" s="2" t="n">
        <v>21.15</v>
      </c>
      <c r="N15" t="n">
        <v>423</v>
      </c>
      <c r="O15" t="n">
        <v>96</v>
      </c>
    </row>
    <row r="16">
      <c r="A16" t="inlineStr">
        <is>
          <t>Sacramento (North)</t>
        </is>
      </c>
      <c r="B16" t="inlineStr">
        <is>
          <t>Sacramento</t>
        </is>
      </c>
      <c r="C16" t="inlineStr">
        <is>
          <t>Central Valley</t>
        </is>
      </c>
      <c r="D16" t="inlineStr">
        <is>
          <t>SMUD</t>
        </is>
      </c>
      <c r="E16" s="2" t="n">
        <v>4.92</v>
      </c>
      <c r="F16" s="2" t="n">
        <v>0.15</v>
      </c>
      <c r="G16" s="2" t="n">
        <v>0.28</v>
      </c>
      <c r="H16" s="2" t="n">
        <v>0.46</v>
      </c>
      <c r="I16" s="2" t="n">
        <v>0.53</v>
      </c>
      <c r="J16" s="2" t="n">
        <v>0.59</v>
      </c>
      <c r="K16" s="2" t="n">
        <v>0.32</v>
      </c>
      <c r="L16" s="2" t="n">
        <v>0.12</v>
      </c>
      <c r="M16" s="2" t="n">
        <v>18.5</v>
      </c>
      <c r="N16" t="n">
        <v>94</v>
      </c>
      <c r="O16" t="n">
        <v>21</v>
      </c>
    </row>
    <row r="18">
      <c r="A18" s="3" t="inlineStr">
        <is>
          <t>STATEWIDE AVERAGES:</t>
        </is>
      </c>
      <c r="B18" s="3" t="inlineStr"/>
      <c r="C18" s="3" t="inlineStr"/>
      <c r="D18" s="3" t="inlineStr"/>
      <c r="E18" s="3" t="inlineStr">
        <is>
          <t>$5.07</t>
        </is>
      </c>
      <c r="F18" s="3" t="inlineStr">
        <is>
          <t>$0.181</t>
        </is>
      </c>
      <c r="G18" s="3" t="inlineStr">
        <is>
          <t>$0.317</t>
        </is>
      </c>
      <c r="H18" s="3" t="inlineStr">
        <is>
          <t>$0.463</t>
        </is>
      </c>
      <c r="I18" s="3" t="inlineStr">
        <is>
          <t>$0.526</t>
        </is>
      </c>
      <c r="J18" s="3" t="inlineStr">
        <is>
          <t>$0.591</t>
        </is>
      </c>
      <c r="K18" s="3" t="inlineStr">
        <is>
          <t>$0.355</t>
        </is>
      </c>
      <c r="L18" s="3" t="inlineStr">
        <is>
          <t>$0.150</t>
        </is>
      </c>
      <c r="M18" s="3" t="inlineStr">
        <is>
          <t>$20.19</t>
        </is>
      </c>
      <c r="N18" s="3" t="n">
        <v>457</v>
      </c>
      <c r="O18" s="3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4" max="4"/>
    <col width="20" customWidth="1" min="5" max="5"/>
  </cols>
  <sheetData>
    <row r="1">
      <c r="A1" s="4" t="inlineStr">
        <is>
          <t>EV vs DIESEL COST COMPARISON CALCULATOR</t>
        </is>
      </c>
    </row>
    <row r="3">
      <c r="A3" s="5" t="inlineStr">
        <is>
          <t>ROUTE PARAMETERS</t>
        </is>
      </c>
    </row>
    <row r="4">
      <c r="A4" t="inlineStr">
        <is>
          <t>Total Distance (miles):</t>
        </is>
      </c>
      <c r="B4" t="n">
        <v>127.4</v>
      </c>
      <c r="E4" t="n">
        <v>4.89</v>
      </c>
    </row>
    <row r="5">
      <c r="A5" t="inlineStr">
        <is>
          <t>Number of Vehicles Hauled:</t>
        </is>
      </c>
      <c r="B5" t="n">
        <v>7</v>
      </c>
      <c r="E5" t="n">
        <v>0.15</v>
      </c>
    </row>
    <row r="6">
      <c r="A6" t="inlineStr">
        <is>
          <t>Selected City:</t>
        </is>
      </c>
      <c r="B6" t="inlineStr">
        <is>
          <t>Sacramento</t>
        </is>
      </c>
      <c r="E6" t="n">
        <v>0.52</v>
      </c>
    </row>
    <row r="8">
      <c r="A8" s="6" t="inlineStr">
        <is>
          <t>DIESEL VEHICLE</t>
        </is>
      </c>
      <c r="D8" s="7" t="inlineStr">
        <is>
          <t>ELECTRIC VEHICLE</t>
        </is>
      </c>
    </row>
    <row r="9">
      <c r="A9" t="inlineStr">
        <is>
          <t>Vehicle Model:</t>
        </is>
      </c>
      <c r="B9" t="inlineStr">
        <is>
          <t>Ford F-550 Super Duty</t>
        </is>
      </c>
      <c r="D9" t="inlineStr">
        <is>
          <t>Vehicle Model:</t>
        </is>
      </c>
      <c r="E9" t="inlineStr">
        <is>
          <t>BrightDrop Zevo 600</t>
        </is>
      </c>
    </row>
    <row r="10">
      <c r="A10" t="inlineStr">
        <is>
          <t>Fuel Efficiency (MPG with load):</t>
        </is>
      </c>
      <c r="B10" t="n">
        <v>8.1</v>
      </c>
      <c r="D10" t="inlineStr">
        <is>
          <t>Energy Efficiency (kWh/mile with load):</t>
        </is>
      </c>
      <c r="E10" t="n">
        <v>1.56</v>
      </c>
    </row>
    <row r="11">
      <c r="A11" t="inlineStr">
        <is>
          <t>Diesel Price ($/gallon):</t>
        </is>
      </c>
      <c r="B11" s="2">
        <f>$E$4</f>
        <v/>
      </c>
      <c r="D11" t="inlineStr">
        <is>
          <t>Charging Strategy:</t>
        </is>
      </c>
      <c r="E11" t="inlineStr">
        <is>
          <t>Mixed (70% Level2, 30% DC Fast)</t>
        </is>
      </c>
    </row>
    <row r="12">
      <c r="A12" t="inlineStr">
        <is>
          <t>Maintenance ($/mile):</t>
        </is>
      </c>
      <c r="B12" s="2" t="n">
        <v>0.05</v>
      </c>
      <c r="D12" t="inlineStr">
        <is>
          <t>Level 2 Rate ($/kWh):</t>
        </is>
      </c>
      <c r="E12" s="2">
        <f>$E$5</f>
        <v/>
      </c>
    </row>
    <row r="13">
      <c r="D13" t="inlineStr">
        <is>
          <t>DC Fast Rate ($/kWh):</t>
        </is>
      </c>
      <c r="E13" s="2">
        <f>$E$6</f>
        <v/>
      </c>
    </row>
    <row r="14">
      <c r="A14" t="inlineStr">
        <is>
          <t>Fuel Cost:</t>
        </is>
      </c>
      <c r="B14" s="2">
        <f>B4/B10*B11</f>
        <v/>
      </c>
      <c r="D14" t="inlineStr">
        <is>
          <t>Maintenance ($/mile):</t>
        </is>
      </c>
      <c r="E14" s="2" t="n">
        <v>0.02</v>
      </c>
    </row>
    <row r="15">
      <c r="A15" t="inlineStr">
        <is>
          <t>Maintenance Cost:</t>
        </is>
      </c>
      <c r="B15" s="2">
        <f>B4*B12</f>
        <v/>
      </c>
      <c r="D15" t="inlineStr">
        <is>
          <t>Session Fees:</t>
        </is>
      </c>
      <c r="E15" s="2" t="n">
        <v>2</v>
      </c>
    </row>
    <row r="16">
      <c r="A16" s="3" t="inlineStr">
        <is>
          <t>TOTAL DIESEL COST:</t>
        </is>
      </c>
      <c r="B16" s="8">
        <f>B14+B15</f>
        <v/>
      </c>
    </row>
    <row r="17">
      <c r="D17" t="inlineStr">
        <is>
          <t>Energy Cost (Level 2):</t>
        </is>
      </c>
      <c r="E17" s="2">
        <f>(B4*E10*0.7)*E12</f>
        <v/>
      </c>
    </row>
    <row r="18">
      <c r="A18" s="9" t="inlineStr">
        <is>
          <t>COMPARISON</t>
        </is>
      </c>
      <c r="D18" t="inlineStr">
        <is>
          <t>Energy Cost (DC Fast):</t>
        </is>
      </c>
      <c r="E18" s="2">
        <f>(B4*E10*0.3)*E13</f>
        <v/>
      </c>
    </row>
    <row r="19">
      <c r="A19" t="inlineStr">
        <is>
          <t>Cost Difference:</t>
        </is>
      </c>
      <c r="B19" s="2">
        <f>B16-E21</f>
        <v/>
      </c>
      <c r="D19" t="inlineStr">
        <is>
          <t>Session Fees:</t>
        </is>
      </c>
      <c r="E19" s="2">
        <f>E15</f>
        <v/>
      </c>
    </row>
    <row r="20">
      <c r="A20" t="inlineStr">
        <is>
          <t>EV Savings %:</t>
        </is>
      </c>
      <c r="B20" s="10">
        <f>(B16-E21)/B16</f>
        <v/>
      </c>
      <c r="D20" t="inlineStr">
        <is>
          <t>Maintenance Cost:</t>
        </is>
      </c>
      <c r="E20" s="2">
        <f>B4*E14</f>
        <v/>
      </c>
    </row>
    <row r="21">
      <c r="A21" t="inlineStr">
        <is>
          <t>Cost per Mile (Diesel):</t>
        </is>
      </c>
      <c r="B21" s="2">
        <f>B16/B4</f>
        <v/>
      </c>
      <c r="D21" s="3" t="inlineStr">
        <is>
          <t>TOTAL EV COST:</t>
        </is>
      </c>
      <c r="E21" s="8">
        <f>E17+E18+E19+E20</f>
        <v/>
      </c>
    </row>
    <row r="22">
      <c r="A22" t="inlineStr">
        <is>
          <t>Cost per Mile (EV):</t>
        </is>
      </c>
      <c r="B22" s="2">
        <f>E21/B4</f>
        <v/>
      </c>
    </row>
    <row r="23">
      <c r="A23" t="inlineStr">
        <is>
          <t>Cost per Vehicle Hauled (Diesel):</t>
        </is>
      </c>
      <c r="B23" s="2">
        <f>B16/B5</f>
        <v/>
      </c>
    </row>
    <row r="24">
      <c r="A24" t="inlineStr">
        <is>
          <t>Cost per Vehicle Hauled (EV):</t>
        </is>
      </c>
      <c r="B24" s="2">
        <f>E21/B5</f>
        <v/>
      </c>
    </row>
  </sheetData>
  <mergeCells count="5">
    <mergeCell ref="D8:E8"/>
    <mergeCell ref="A1:F1"/>
    <mergeCell ref="A18:B18"/>
    <mergeCell ref="A8:B8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18" customWidth="1" min="5" max="5"/>
    <col width="18" customWidth="1" min="6" max="6"/>
    <col width="13" customWidth="1" min="7" max="7"/>
    <col width="15" customWidth="1" min="8" max="8"/>
    <col width="20" customWidth="1" min="9" max="9"/>
    <col width="16" customWidth="1" min="10" max="10"/>
    <col width="12" customWidth="1" min="11" max="11"/>
  </cols>
  <sheetData>
    <row r="1">
      <c r="A1" s="1" t="inlineStr">
        <is>
          <t>Network</t>
        </is>
      </c>
      <c r="B1" s="1" t="inlineStr">
        <is>
          <t>Coverage</t>
        </is>
      </c>
      <c r="C1" s="1" t="inlineStr">
        <is>
          <t>Total Stations</t>
        </is>
      </c>
      <c r="D1" s="1" t="inlineStr">
        <is>
          <t>DC Fast %</t>
        </is>
      </c>
      <c r="E1" s="1" t="inlineStr">
        <is>
          <t>Avg Level 2 ($/kWh)</t>
        </is>
      </c>
      <c r="F1" s="1" t="inlineStr">
        <is>
          <t>Avg DC Fast ($/kWh)</t>
        </is>
      </c>
      <c r="G1" s="1" t="inlineStr">
        <is>
          <t>Session Fee</t>
        </is>
      </c>
      <c r="H1" s="1" t="inlineStr">
        <is>
          <t>Idle Fee ($/min)</t>
        </is>
      </c>
      <c r="I1" s="1" t="inlineStr">
        <is>
          <t>Membership</t>
        </is>
      </c>
      <c r="J1" s="1" t="inlineStr">
        <is>
          <t>Fleet Discounts</t>
        </is>
      </c>
      <c r="K1" s="1" t="inlineStr">
        <is>
          <t>Reliability</t>
        </is>
      </c>
    </row>
    <row r="2">
      <c r="A2" t="inlineStr">
        <is>
          <t>ChargePoint</t>
        </is>
      </c>
      <c r="B2" t="inlineStr">
        <is>
          <t>Statewide</t>
        </is>
      </c>
      <c r="C2" t="n">
        <v>8900</v>
      </c>
      <c r="D2" t="inlineStr">
        <is>
          <t>15%</t>
        </is>
      </c>
      <c r="E2" s="11" t="n">
        <v>0.31</v>
      </c>
      <c r="F2" s="11" t="n">
        <v>0.49</v>
      </c>
      <c r="G2" s="12" t="n">
        <v>1</v>
      </c>
      <c r="H2" s="12" t="n">
        <v>0.4</v>
      </c>
      <c r="I2" t="inlineStr">
        <is>
          <t>No</t>
        </is>
      </c>
      <c r="J2" t="inlineStr">
        <is>
          <t>Yes</t>
        </is>
      </c>
      <c r="K2" t="inlineStr">
        <is>
          <t>87%</t>
        </is>
      </c>
    </row>
    <row r="3">
      <c r="A3" t="inlineStr">
        <is>
          <t>Electrify America</t>
        </is>
      </c>
      <c r="B3" t="inlineStr">
        <is>
          <t>Major Highways</t>
        </is>
      </c>
      <c r="C3" t="n">
        <v>350</v>
      </c>
      <c r="D3" t="inlineStr">
        <is>
          <t>100%</t>
        </is>
      </c>
      <c r="E3" s="11" t="n">
        <v/>
      </c>
      <c r="F3" s="11" t="n">
        <v>0.48</v>
      </c>
      <c r="G3" s="12" t="n">
        <v>0</v>
      </c>
      <c r="H3" s="12" t="n">
        <v>0.4</v>
      </c>
      <c r="I3" t="inlineStr">
        <is>
          <t>No</t>
        </is>
      </c>
      <c r="J3" t="inlineStr">
        <is>
          <t>Yes</t>
        </is>
      </c>
      <c r="K3" t="inlineStr">
        <is>
          <t>92%</t>
        </is>
      </c>
    </row>
    <row r="4">
      <c r="A4" t="inlineStr">
        <is>
          <t>EVgo</t>
        </is>
      </c>
      <c r="B4" t="inlineStr">
        <is>
          <t>Major Cities</t>
        </is>
      </c>
      <c r="C4" t="n">
        <v>430</v>
      </c>
      <c r="D4" t="inlineStr">
        <is>
          <t>95%</t>
        </is>
      </c>
      <c r="E4" s="11" t="n">
        <v>0.29</v>
      </c>
      <c r="F4" s="11" t="n">
        <v>0.51</v>
      </c>
      <c r="G4" s="12" t="n">
        <v>0.99</v>
      </c>
      <c r="H4" s="12" t="n">
        <v>0.35</v>
      </c>
      <c r="I4" t="inlineStr">
        <is>
          <t>No</t>
        </is>
      </c>
      <c r="J4" t="inlineStr">
        <is>
          <t>Limited</t>
        </is>
      </c>
      <c r="K4" t="inlineStr">
        <is>
          <t>84%</t>
        </is>
      </c>
    </row>
    <row r="5">
      <c r="A5" t="inlineStr">
        <is>
          <t>Tesla Supercharger</t>
        </is>
      </c>
      <c r="B5" t="inlineStr">
        <is>
          <t>Statewide</t>
        </is>
      </c>
      <c r="C5" t="n">
        <v>520</v>
      </c>
      <c r="D5" t="inlineStr">
        <is>
          <t>100%</t>
        </is>
      </c>
      <c r="E5" s="11" t="n">
        <v/>
      </c>
      <c r="F5" s="11" t="n">
        <v>0.46</v>
      </c>
      <c r="G5" s="12" t="n">
        <v>0</v>
      </c>
      <c r="H5" s="12" t="n">
        <v>0.5</v>
      </c>
      <c r="I5" t="inlineStr">
        <is>
          <t>Tesla only (some open)</t>
        </is>
      </c>
      <c r="J5" t="inlineStr">
        <is>
          <t>Tesla Fleet</t>
        </is>
      </c>
      <c r="K5" t="inlineStr">
        <is>
          <t>96%</t>
        </is>
      </c>
    </row>
    <row r="6">
      <c r="A6" t="inlineStr">
        <is>
          <t>Blink</t>
        </is>
      </c>
      <c r="B6" t="inlineStr">
        <is>
          <t>Urban Areas</t>
        </is>
      </c>
      <c r="C6" t="n">
        <v>680</v>
      </c>
      <c r="D6" t="inlineStr">
        <is>
          <t>8%</t>
        </is>
      </c>
      <c r="E6" s="11" t="n">
        <v>0.33</v>
      </c>
      <c r="F6" s="11" t="n">
        <v>0.54</v>
      </c>
      <c r="G6" s="12" t="n">
        <v>1.5</v>
      </c>
      <c r="H6" s="12" t="n">
        <v>0.3</v>
      </c>
      <c r="I6" t="inlineStr">
        <is>
          <t>No</t>
        </is>
      </c>
      <c r="J6" t="inlineStr">
        <is>
          <t>Yes</t>
        </is>
      </c>
      <c r="K6" t="inlineStr">
        <is>
          <t>79%</t>
        </is>
      </c>
    </row>
    <row r="7">
      <c r="A7" t="inlineStr">
        <is>
          <t>Private/Dealer Network</t>
        </is>
      </c>
      <c r="B7" t="inlineStr">
        <is>
          <t>Dealer Locations</t>
        </is>
      </c>
      <c r="C7" t="n">
        <v>150</v>
      </c>
      <c r="D7" t="inlineStr">
        <is>
          <t>20%</t>
        </is>
      </c>
      <c r="E7" s="11" t="n">
        <v>0.16</v>
      </c>
      <c r="F7" s="11" t="n">
        <v>0.38</v>
      </c>
      <c r="G7" s="12" t="n">
        <v>0</v>
      </c>
      <c r="H7" s="12" t="n">
        <v>0</v>
      </c>
      <c r="I7" t="inlineStr">
        <is>
          <t>Syndicate Member</t>
        </is>
      </c>
      <c r="J7" t="inlineStr">
        <is>
          <t>Volume Rates</t>
        </is>
      </c>
      <c r="K7" t="inlineStr">
        <is>
          <t>94%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20" customWidth="1" min="5" max="5"/>
    <col width="12" customWidth="1" min="6" max="6"/>
    <col width="16" customWidth="1" min="7" max="7"/>
    <col width="16" customWidth="1" min="8" max="8"/>
  </cols>
  <sheetData>
    <row r="1">
      <c r="A1" s="4" t="inlineStr">
        <is>
          <t>TIME-OF-USE RATE SCHEDULES (Commercial)</t>
        </is>
      </c>
    </row>
    <row r="3">
      <c r="A3" s="13" t="inlineStr">
        <is>
          <t>Utility</t>
        </is>
      </c>
      <c r="B3" s="13" t="inlineStr">
        <is>
          <t>Rate Plan</t>
        </is>
      </c>
      <c r="C3" s="13" t="inlineStr">
        <is>
          <t>Season</t>
        </is>
      </c>
      <c r="D3" s="13" t="inlineStr">
        <is>
          <t>Period</t>
        </is>
      </c>
      <c r="E3" s="13" t="inlineStr">
        <is>
          <t>Hours</t>
        </is>
      </c>
      <c r="F3" s="13" t="inlineStr">
        <is>
          <t>Days</t>
        </is>
      </c>
      <c r="G3" s="13" t="inlineStr">
        <is>
          <t>Energy ($/kWh)</t>
        </is>
      </c>
      <c r="H3" s="13" t="inlineStr">
        <is>
          <t>Demand ($/kW)</t>
        </is>
      </c>
    </row>
    <row r="4">
      <c r="A4" t="inlineStr">
        <is>
          <t>PG&amp;E</t>
        </is>
      </c>
      <c r="B4" t="inlineStr">
        <is>
          <t>B20</t>
        </is>
      </c>
      <c r="C4" t="inlineStr">
        <is>
          <t>Summer</t>
        </is>
      </c>
      <c r="D4" t="inlineStr">
        <is>
          <t>Peak</t>
        </is>
      </c>
      <c r="E4" t="inlineStr">
        <is>
          <t>4 PM - 9 PM</t>
        </is>
      </c>
      <c r="F4" t="inlineStr">
        <is>
          <t>Mon-Fri</t>
        </is>
      </c>
      <c r="G4" s="11" t="n">
        <v>0.42</v>
      </c>
      <c r="H4" s="12" t="n">
        <v>24.15</v>
      </c>
    </row>
    <row r="5">
      <c r="A5" t="inlineStr">
        <is>
          <t>PG&amp;E</t>
        </is>
      </c>
      <c r="B5" t="inlineStr">
        <is>
          <t>B20</t>
        </is>
      </c>
      <c r="C5" t="inlineStr">
        <is>
          <t>Summer</t>
        </is>
      </c>
      <c r="D5" t="inlineStr">
        <is>
          <t>Part-Peak</t>
        </is>
      </c>
      <c r="E5" t="inlineStr">
        <is>
          <t>8 AM - 4 PM, 9 PM - 11 PM</t>
        </is>
      </c>
      <c r="F5" t="inlineStr">
        <is>
          <t>Mon-Fri</t>
        </is>
      </c>
      <c r="G5" s="11" t="n">
        <v>0.28</v>
      </c>
      <c r="H5" t="n">
        <v>0</v>
      </c>
    </row>
    <row r="6">
      <c r="A6" t="inlineStr">
        <is>
          <t>PG&amp;E</t>
        </is>
      </c>
      <c r="B6" t="inlineStr">
        <is>
          <t>B20</t>
        </is>
      </c>
      <c r="C6" t="inlineStr">
        <is>
          <t>Summer</t>
        </is>
      </c>
      <c r="D6" t="inlineStr">
        <is>
          <t>Off-Peak</t>
        </is>
      </c>
      <c r="E6" t="inlineStr">
        <is>
          <t>11 PM - 8 AM</t>
        </is>
      </c>
      <c r="F6" t="inlineStr">
        <is>
          <t>Mon-Fri</t>
        </is>
      </c>
      <c r="G6" s="11" t="n">
        <v>0.17</v>
      </c>
      <c r="H6" t="n">
        <v>0</v>
      </c>
    </row>
    <row r="7">
      <c r="A7" t="inlineStr">
        <is>
          <t>PG&amp;E</t>
        </is>
      </c>
      <c r="B7" t="inlineStr">
        <is>
          <t>B20</t>
        </is>
      </c>
      <c r="C7" t="inlineStr">
        <is>
          <t>Summer</t>
        </is>
      </c>
      <c r="D7" t="inlineStr">
        <is>
          <t>Off-Peak</t>
        </is>
      </c>
      <c r="E7" t="inlineStr">
        <is>
          <t>All Day</t>
        </is>
      </c>
      <c r="F7" t="inlineStr">
        <is>
          <t>Sat-Sun</t>
        </is>
      </c>
      <c r="G7" s="11" t="n">
        <v>0.17</v>
      </c>
      <c r="H7" t="n">
        <v>0</v>
      </c>
    </row>
    <row r="8">
      <c r="A8" t="inlineStr">
        <is>
          <t>PG&amp;E</t>
        </is>
      </c>
      <c r="B8" t="inlineStr">
        <is>
          <t>B20</t>
        </is>
      </c>
      <c r="C8" t="inlineStr">
        <is>
          <t>Winter</t>
        </is>
      </c>
      <c r="D8" t="inlineStr">
        <is>
          <t>Part-Peak</t>
        </is>
      </c>
      <c r="E8" t="inlineStr">
        <is>
          <t>8 AM - 10 PM</t>
        </is>
      </c>
      <c r="F8" t="inlineStr">
        <is>
          <t>Mon-Fri</t>
        </is>
      </c>
      <c r="G8" s="11" t="n">
        <v>0.25</v>
      </c>
      <c r="H8" t="n">
        <v>0</v>
      </c>
    </row>
    <row r="9">
      <c r="A9" t="inlineStr">
        <is>
          <t>PG&amp;E</t>
        </is>
      </c>
      <c r="B9" t="inlineStr">
        <is>
          <t>B20</t>
        </is>
      </c>
      <c r="C9" t="inlineStr">
        <is>
          <t>Winter</t>
        </is>
      </c>
      <c r="D9" t="inlineStr">
        <is>
          <t>Off-Peak</t>
        </is>
      </c>
      <c r="E9" t="inlineStr">
        <is>
          <t>10 PM - 8 AM</t>
        </is>
      </c>
      <c r="F9" t="inlineStr">
        <is>
          <t>Mon-Fri</t>
        </is>
      </c>
      <c r="G9" s="11" t="n">
        <v>0.16</v>
      </c>
      <c r="H9" t="n">
        <v>0</v>
      </c>
    </row>
    <row r="10">
      <c r="A10" t="inlineStr">
        <is>
          <t>PG&amp;E</t>
        </is>
      </c>
      <c r="B10" t="inlineStr">
        <is>
          <t>B20</t>
        </is>
      </c>
      <c r="C10" t="inlineStr">
        <is>
          <t>Winter</t>
        </is>
      </c>
      <c r="D10" t="inlineStr">
        <is>
          <t>Off-Peak</t>
        </is>
      </c>
      <c r="E10" t="inlineStr">
        <is>
          <t>All Day</t>
        </is>
      </c>
      <c r="F10" t="inlineStr">
        <is>
          <t>Sat-Sun</t>
        </is>
      </c>
      <c r="G10" s="11" t="n">
        <v>0.16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SCE</t>
        </is>
      </c>
      <c r="B12" t="inlineStr">
        <is>
          <t>TOU-8</t>
        </is>
      </c>
      <c r="C12" t="inlineStr">
        <is>
          <t>Summer</t>
        </is>
      </c>
      <c r="D12" t="inlineStr">
        <is>
          <t>On-Peak</t>
        </is>
      </c>
      <c r="E12" t="inlineStr">
        <is>
          <t>4 PM - 9 PM</t>
        </is>
      </c>
      <c r="F12" t="inlineStr">
        <is>
          <t>Mon-Fri</t>
        </is>
      </c>
      <c r="G12" s="11" t="n">
        <v>0.38</v>
      </c>
      <c r="H12" s="12" t="n">
        <v>21.4</v>
      </c>
    </row>
    <row r="13">
      <c r="A13" t="inlineStr">
        <is>
          <t>SCE</t>
        </is>
      </c>
      <c r="B13" t="inlineStr">
        <is>
          <t>TOU-8</t>
        </is>
      </c>
      <c r="C13" t="inlineStr">
        <is>
          <t>Summer</t>
        </is>
      </c>
      <c r="D13" t="inlineStr">
        <is>
          <t>Mid-Peak</t>
        </is>
      </c>
      <c r="E13" t="inlineStr">
        <is>
          <t>8 AM - 4 PM</t>
        </is>
      </c>
      <c r="F13" t="inlineStr">
        <is>
          <t>Mon-Fri</t>
        </is>
      </c>
      <c r="G13" s="11" t="n">
        <v>0.26</v>
      </c>
      <c r="H13" t="n">
        <v>0</v>
      </c>
    </row>
    <row r="14">
      <c r="A14" t="inlineStr">
        <is>
          <t>SCE</t>
        </is>
      </c>
      <c r="B14" t="inlineStr">
        <is>
          <t>TOU-8</t>
        </is>
      </c>
      <c r="C14" t="inlineStr">
        <is>
          <t>Summer</t>
        </is>
      </c>
      <c r="D14" t="inlineStr">
        <is>
          <t>Off-Peak</t>
        </is>
      </c>
      <c r="E14" t="inlineStr">
        <is>
          <t>9 PM - 8 AM</t>
        </is>
      </c>
      <c r="F14" t="inlineStr">
        <is>
          <t>Mon-Fri</t>
        </is>
      </c>
      <c r="G14" s="11" t="n">
        <v>0.16</v>
      </c>
      <c r="H14" t="n">
        <v>0</v>
      </c>
    </row>
    <row r="15">
      <c r="A15" t="inlineStr">
        <is>
          <t>SCE</t>
        </is>
      </c>
      <c r="B15" t="inlineStr">
        <is>
          <t>TOU-8</t>
        </is>
      </c>
      <c r="C15" t="inlineStr">
        <is>
          <t>Summer</t>
        </is>
      </c>
      <c r="D15" t="inlineStr">
        <is>
          <t>Off-Peak</t>
        </is>
      </c>
      <c r="E15" t="inlineStr">
        <is>
          <t>All Day</t>
        </is>
      </c>
      <c r="F15" t="inlineStr">
        <is>
          <t>Sat-Sun</t>
        </is>
      </c>
      <c r="G15" s="11" t="n">
        <v>0.16</v>
      </c>
      <c r="H15" t="n">
        <v>0</v>
      </c>
    </row>
    <row r="16">
      <c r="A16" t="inlineStr">
        <is>
          <t>SCE</t>
        </is>
      </c>
      <c r="B16" t="inlineStr">
        <is>
          <t>TOU-8</t>
        </is>
      </c>
      <c r="C16" t="inlineStr">
        <is>
          <t>Winter</t>
        </is>
      </c>
      <c r="D16" t="inlineStr">
        <is>
          <t>Mid-Peak</t>
        </is>
      </c>
      <c r="E16" t="inlineStr">
        <is>
          <t>8 AM - 9 PM</t>
        </is>
      </c>
      <c r="F16" t="inlineStr">
        <is>
          <t>Mon-Fri</t>
        </is>
      </c>
      <c r="G16" s="11" t="n">
        <v>0.24</v>
      </c>
      <c r="H16" t="n">
        <v>0</v>
      </c>
    </row>
    <row r="17">
      <c r="A17" t="inlineStr">
        <is>
          <t>SCE</t>
        </is>
      </c>
      <c r="B17" t="inlineStr">
        <is>
          <t>TOU-8</t>
        </is>
      </c>
      <c r="C17" t="inlineStr">
        <is>
          <t>Winter</t>
        </is>
      </c>
      <c r="D17" t="inlineStr">
        <is>
          <t>Off-Peak</t>
        </is>
      </c>
      <c r="E17" t="inlineStr">
        <is>
          <t>9 PM - 8 AM</t>
        </is>
      </c>
      <c r="F17" t="inlineStr">
        <is>
          <t>Mon-Fri</t>
        </is>
      </c>
      <c r="G17" s="11" t="n">
        <v>0.15</v>
      </c>
      <c r="H17" t="n">
        <v>0</v>
      </c>
    </row>
    <row r="18">
      <c r="A18" t="inlineStr">
        <is>
          <t>SCE</t>
        </is>
      </c>
      <c r="B18" t="inlineStr">
        <is>
          <t>TOU-8</t>
        </is>
      </c>
      <c r="C18" t="inlineStr">
        <is>
          <t>Winter</t>
        </is>
      </c>
      <c r="D18" t="inlineStr">
        <is>
          <t>Off-Peak</t>
        </is>
      </c>
      <c r="E18" t="inlineStr">
        <is>
          <t>All Day</t>
        </is>
      </c>
      <c r="F18" t="inlineStr">
        <is>
          <t>Sat-Sun</t>
        </is>
      </c>
      <c r="G18" s="11" t="n">
        <v>0.15</v>
      </c>
      <c r="H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SDG&amp;E</t>
        </is>
      </c>
      <c r="B20" t="inlineStr">
        <is>
          <t>AL-TOU</t>
        </is>
      </c>
      <c r="C20" t="inlineStr">
        <is>
          <t>Summer</t>
        </is>
      </c>
      <c r="D20" t="inlineStr">
        <is>
          <t>On-Peak</t>
        </is>
      </c>
      <c r="E20" t="inlineStr">
        <is>
          <t>4 PM - 9 PM</t>
        </is>
      </c>
      <c r="F20" t="inlineStr">
        <is>
          <t>Mon-Fri</t>
        </is>
      </c>
      <c r="G20" s="11" t="n">
        <v>0.42</v>
      </c>
      <c r="H20" s="12" t="n">
        <v>24.15</v>
      </c>
    </row>
    <row r="21">
      <c r="A21" t="inlineStr">
        <is>
          <t>SDG&amp;E</t>
        </is>
      </c>
      <c r="B21" t="inlineStr">
        <is>
          <t>AL-TOU</t>
        </is>
      </c>
      <c r="C21" t="inlineStr">
        <is>
          <t>Summer</t>
        </is>
      </c>
      <c r="D21" t="inlineStr">
        <is>
          <t>Off-Peak</t>
        </is>
      </c>
      <c r="E21" t="inlineStr">
        <is>
          <t>9 PM - 4 PM</t>
        </is>
      </c>
      <c r="F21" t="inlineStr">
        <is>
          <t>Mon-Fri</t>
        </is>
      </c>
      <c r="G21" s="11" t="n">
        <v>0.18</v>
      </c>
      <c r="H21" t="n">
        <v>0</v>
      </c>
    </row>
    <row r="22">
      <c r="A22" t="inlineStr">
        <is>
          <t>SDG&amp;E</t>
        </is>
      </c>
      <c r="B22" t="inlineStr">
        <is>
          <t>AL-TOU</t>
        </is>
      </c>
      <c r="C22" t="inlineStr">
        <is>
          <t>Summer</t>
        </is>
      </c>
      <c r="D22" t="inlineStr">
        <is>
          <t>Super Off-Peak</t>
        </is>
      </c>
      <c r="E22" t="inlineStr">
        <is>
          <t>All Day</t>
        </is>
      </c>
      <c r="F22" t="inlineStr">
        <is>
          <t>Sat-Sun</t>
        </is>
      </c>
      <c r="G22" s="11" t="n">
        <v>0.14</v>
      </c>
      <c r="H22" t="n">
        <v>0</v>
      </c>
    </row>
    <row r="23">
      <c r="A23" t="inlineStr">
        <is>
          <t>SDG&amp;E</t>
        </is>
      </c>
      <c r="B23" t="inlineStr">
        <is>
          <t>AL-TOU</t>
        </is>
      </c>
      <c r="C23" t="inlineStr">
        <is>
          <t>Winter</t>
        </is>
      </c>
      <c r="D23" t="inlineStr">
        <is>
          <t>On-Peak</t>
        </is>
      </c>
      <c r="E23" t="inlineStr">
        <is>
          <t>4 PM - 9 PM</t>
        </is>
      </c>
      <c r="F23" t="inlineStr">
        <is>
          <t>Mon-Fri</t>
        </is>
      </c>
      <c r="G23" s="11" t="n">
        <v>0.35</v>
      </c>
      <c r="H23" s="12" t="n">
        <v>19.8</v>
      </c>
    </row>
    <row r="24">
      <c r="A24" t="inlineStr">
        <is>
          <t>SDG&amp;E</t>
        </is>
      </c>
      <c r="B24" t="inlineStr">
        <is>
          <t>AL-TOU</t>
        </is>
      </c>
      <c r="C24" t="inlineStr">
        <is>
          <t>Winter</t>
        </is>
      </c>
      <c r="D24" t="inlineStr">
        <is>
          <t>Off-Peak</t>
        </is>
      </c>
      <c r="E24" t="inlineStr">
        <is>
          <t>9 PM - 4 PM</t>
        </is>
      </c>
      <c r="F24" t="inlineStr">
        <is>
          <t>Mon-Fri</t>
        </is>
      </c>
      <c r="G24" s="11" t="n">
        <v>0.17</v>
      </c>
      <c r="H24" t="n">
        <v>0</v>
      </c>
    </row>
    <row r="25">
      <c r="A25" t="inlineStr">
        <is>
          <t>SDG&amp;E</t>
        </is>
      </c>
      <c r="B25" t="inlineStr">
        <is>
          <t>AL-TOU</t>
        </is>
      </c>
      <c r="C25" t="inlineStr">
        <is>
          <t>Winter</t>
        </is>
      </c>
      <c r="D25" t="inlineStr">
        <is>
          <t>Super Off-Peak</t>
        </is>
      </c>
      <c r="E25" t="inlineStr">
        <is>
          <t>All Day</t>
        </is>
      </c>
      <c r="F25" t="inlineStr">
        <is>
          <t>Sat-Sun</t>
        </is>
      </c>
      <c r="G25" s="11" t="n">
        <v>0.13</v>
      </c>
      <c r="H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SMUD</t>
        </is>
      </c>
      <c r="B27" t="inlineStr">
        <is>
          <t>Commercial EV</t>
        </is>
      </c>
      <c r="C27" t="inlineStr">
        <is>
          <t>Year-Round</t>
        </is>
      </c>
      <c r="D27" t="inlineStr">
        <is>
          <t>Peak</t>
        </is>
      </c>
      <c r="E27" t="inlineStr">
        <is>
          <t>4 PM - 8 PM</t>
        </is>
      </c>
      <c r="F27" t="inlineStr">
        <is>
          <t>Mon-Fri</t>
        </is>
      </c>
      <c r="G27" s="11" t="n">
        <v>0.32</v>
      </c>
      <c r="H27" s="12" t="n">
        <v>18.5</v>
      </c>
    </row>
    <row r="28">
      <c r="A28" t="inlineStr">
        <is>
          <t>SMUD</t>
        </is>
      </c>
      <c r="B28" t="inlineStr">
        <is>
          <t>Commercial EV</t>
        </is>
      </c>
      <c r="C28" t="inlineStr">
        <is>
          <t>Year-Round</t>
        </is>
      </c>
      <c r="D28" t="inlineStr">
        <is>
          <t>Off-Peak</t>
        </is>
      </c>
      <c r="E28" t="inlineStr">
        <is>
          <t>8 PM - 4 PM</t>
        </is>
      </c>
      <c r="F28" t="inlineStr">
        <is>
          <t>Mon-Fri</t>
        </is>
      </c>
      <c r="G28" s="11" t="n">
        <v>0.12</v>
      </c>
      <c r="H28" t="n">
        <v>0</v>
      </c>
    </row>
    <row r="29">
      <c r="A29" t="inlineStr">
        <is>
          <t>SMUD</t>
        </is>
      </c>
      <c r="B29" t="inlineStr">
        <is>
          <t>Commercial EV</t>
        </is>
      </c>
      <c r="C29" t="inlineStr">
        <is>
          <t>Year-Round</t>
        </is>
      </c>
      <c r="D29" t="inlineStr">
        <is>
          <t>Super Off-Peak</t>
        </is>
      </c>
      <c r="E29" t="inlineStr">
        <is>
          <t>All Day</t>
        </is>
      </c>
      <c r="F29" t="inlineStr">
        <is>
          <t>Sat-Sun</t>
        </is>
      </c>
      <c r="G29" s="11" t="n">
        <v>0.1</v>
      </c>
      <c r="H29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4" t="inlineStr">
        <is>
          <t>ANNUAL COST PROJECTIONS - DIESEL vs EV</t>
        </is>
      </c>
    </row>
    <row r="2"/>
    <row r="3">
      <c r="A3" s="3" t="inlineStr">
        <is>
          <t>Route: Sacramento - Modesto (Daily)</t>
        </is>
      </c>
    </row>
    <row r="4">
      <c r="A4" t="inlineStr">
        <is>
          <t>Annual Miles: 31,850</t>
        </is>
      </c>
    </row>
    <row r="5">
      <c r="A5" t="inlineStr">
        <is>
          <t>Vehicles Hauled/Year: 1,750</t>
        </is>
      </c>
    </row>
    <row r="6"/>
    <row r="7">
      <c r="A7" s="14" t="inlineStr">
        <is>
          <t>Metric</t>
        </is>
      </c>
      <c r="B7" s="14" t="inlineStr">
        <is>
          <t>Diesel Vehicle</t>
        </is>
      </c>
      <c r="C7" s="14" t="inlineStr">
        <is>
          <t>EV Vehicle</t>
        </is>
      </c>
      <c r="D7" s="14" t="inlineStr">
        <is>
          <t>Annual Savings</t>
        </is>
      </c>
      <c r="E7" s="14" t="inlineStr">
        <is>
          <t>Savings %</t>
        </is>
      </c>
      <c r="F7" s="14" t="n"/>
      <c r="G7" s="14" t="n"/>
    </row>
    <row r="8">
      <c r="A8" t="inlineStr">
        <is>
          <t>Fuel/Energy Cost</t>
        </is>
      </c>
      <c r="B8" s="2" t="n">
        <v>19320</v>
      </c>
      <c r="C8" s="2" t="n">
        <v>12468</v>
      </c>
      <c r="D8" s="2" t="n">
        <v>6852</v>
      </c>
      <c r="E8" s="10" t="n">
        <v>35.5</v>
      </c>
    </row>
    <row r="9">
      <c r="A9" t="inlineStr">
        <is>
          <t>Maintenance Cost</t>
        </is>
      </c>
      <c r="B9" s="2" t="n">
        <v>1592.5</v>
      </c>
      <c r="C9" s="2" t="n">
        <v>637</v>
      </c>
      <c r="D9" s="2" t="n">
        <v>955.5</v>
      </c>
      <c r="E9" s="10" t="n">
        <v>60</v>
      </c>
    </row>
    <row r="10">
      <c r="A10" t="inlineStr">
        <is>
          <t>Insurance</t>
        </is>
      </c>
      <c r="B10" s="2" t="n">
        <v>4500</v>
      </c>
      <c r="C10" s="2" t="n">
        <v>4200</v>
      </c>
      <c r="D10" s="2" t="n">
        <v>300</v>
      </c>
      <c r="E10" s="10" t="n">
        <v>6.7</v>
      </c>
    </row>
    <row r="11">
      <c r="A11" t="inlineStr">
        <is>
          <t>Registration/Fees</t>
        </is>
      </c>
      <c r="B11" s="2" t="n">
        <v>850</v>
      </c>
      <c r="C11" s="2" t="n">
        <v>750</v>
      </c>
      <c r="D11" s="2" t="n">
        <v>100</v>
      </c>
      <c r="E11" s="10" t="n">
        <v>11.8</v>
      </c>
    </row>
    <row r="12">
      <c r="A12" s="3" t="inlineStr">
        <is>
          <t>TOTAL ANNUAL COST</t>
        </is>
      </c>
      <c r="B12" s="8" t="n">
        <v>26262.5</v>
      </c>
      <c r="C12" s="8" t="n">
        <v>18055</v>
      </c>
      <c r="D12" s="8" t="n">
        <v>8207.5</v>
      </c>
      <c r="E12" s="15" t="n">
        <v>31.2</v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Cost per Mile</t>
        </is>
      </c>
      <c r="B14" s="2" t="n">
        <v>0.82</v>
      </c>
      <c r="C14" s="2" t="n">
        <v>0.57</v>
      </c>
      <c r="D14" s="2" t="n">
        <v>0.25</v>
      </c>
      <c r="E14" s="10" t="n">
        <v>30.9</v>
      </c>
    </row>
    <row r="15">
      <c r="A15" t="inlineStr">
        <is>
          <t>Cost per Vehicle Hauled</t>
        </is>
      </c>
      <c r="B15" s="2" t="n">
        <v>15.01</v>
      </c>
      <c r="C15" s="2" t="n">
        <v>10.32</v>
      </c>
      <c r="D15" s="2" t="n">
        <v>4.69</v>
      </c>
      <c r="E15" s="10" t="n">
        <v>31.2</v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5-Year TCO Projection</t>
        </is>
      </c>
      <c r="B17" t="inlineStr"/>
      <c r="C17" t="inlineStr"/>
      <c r="D17" t="inlineStr"/>
      <c r="E17" t="inlineStr"/>
    </row>
    <row r="18">
      <c r="A18" t="inlineStr">
        <is>
          <t>Operating Costs (5 years)</t>
        </is>
      </c>
      <c r="B18" s="2" t="n">
        <v>131312.5</v>
      </c>
      <c r="C18" s="2" t="n">
        <v>90275</v>
      </c>
      <c r="D18" s="2" t="n">
        <v>41037.5</v>
      </c>
      <c r="E18" s="10" t="n">
        <v>31.2</v>
      </c>
    </row>
    <row r="19">
      <c r="A19" t="inlineStr">
        <is>
          <t>Vehicle Purchase Price</t>
        </is>
      </c>
      <c r="B19" s="2" t="n">
        <v>85000</v>
      </c>
      <c r="C19" s="2" t="n">
        <v>180000</v>
      </c>
      <c r="D19" s="2" t="n">
        <v>-95000</v>
      </c>
      <c r="E19" s="10" t="n">
        <v>-111.8</v>
      </c>
    </row>
    <row r="20">
      <c r="A20" t="inlineStr">
        <is>
          <t>Less: Federal Tax Credit</t>
        </is>
      </c>
      <c r="B20" s="2" t="n">
        <v>0</v>
      </c>
      <c r="C20" s="2" t="n">
        <v>-40000</v>
      </c>
      <c r="D20" s="2" t="n">
        <v>40000</v>
      </c>
      <c r="E20" s="10" t="n">
        <v>0</v>
      </c>
    </row>
    <row r="21">
      <c r="A21" t="inlineStr">
        <is>
          <t>Less: State Rebates</t>
        </is>
      </c>
      <c r="B21" s="2" t="n">
        <v>0</v>
      </c>
      <c r="C21" s="2" t="n">
        <v>-5000</v>
      </c>
      <c r="D21" s="2" t="n">
        <v>5000</v>
      </c>
      <c r="E21" s="10" t="n">
        <v>0</v>
      </c>
    </row>
    <row r="22">
      <c r="A22" t="inlineStr">
        <is>
          <t>Net Vehicle Cost</t>
        </is>
      </c>
      <c r="B22" s="2" t="n">
        <v>85000</v>
      </c>
      <c r="C22" s="2" t="n">
        <v>135000</v>
      </c>
      <c r="D22" s="2" t="n">
        <v>-50000</v>
      </c>
      <c r="E22" s="10" t="n">
        <v>-58.8</v>
      </c>
    </row>
    <row r="23">
      <c r="A23" t="inlineStr"/>
      <c r="B23" t="inlineStr"/>
      <c r="C23" t="inlineStr"/>
      <c r="D23" t="inlineStr"/>
      <c r="E23" t="inlineStr"/>
    </row>
    <row r="24">
      <c r="A24" s="3" t="inlineStr">
        <is>
          <t>TOTAL 5-YEAR TCO</t>
        </is>
      </c>
      <c r="B24" s="8" t="n">
        <v>216312.5</v>
      </c>
      <c r="C24" s="8" t="n">
        <v>225275</v>
      </c>
      <c r="D24" s="8" t="n">
        <v>-8962.5</v>
      </c>
      <c r="E24" s="15" t="n">
        <v>-4.1</v>
      </c>
    </row>
    <row r="25">
      <c r="A25" s="3" t="inlineStr">
        <is>
          <t>Payback Period (years)</t>
        </is>
      </c>
      <c r="B25" s="3" t="inlineStr"/>
      <c r="C25" s="3" t="inlineStr"/>
      <c r="D25" s="8" t="n">
        <v>6.1</v>
      </c>
      <c r="E25" s="3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/>
      <c r="B1" t="inlineStr"/>
    </row>
    <row r="2">
      <c r="A2" t="inlineStr">
        <is>
          <t>Last Updated:</t>
        </is>
      </c>
      <c r="B2" t="inlineStr">
        <is>
          <t>December 12, 2025</t>
        </is>
      </c>
    </row>
    <row r="3">
      <c r="A3" t="inlineStr"/>
      <c r="B3" t="inlineStr"/>
    </row>
    <row r="4">
      <c r="A4" s="16" t="inlineStr">
        <is>
          <t>DIESEL PRICE SOURCES:</t>
        </is>
      </c>
      <c r="B4" t="inlineStr"/>
    </row>
    <row r="5">
      <c r="A5" t="inlineStr">
        <is>
          <t>• GasBuddy API</t>
        </is>
      </c>
      <c r="B5" t="inlineStr">
        <is>
          <t>Real-time diesel prices from CA stations</t>
        </is>
      </c>
    </row>
    <row r="6">
      <c r="A6" t="inlineStr">
        <is>
          <t>• EIA.gov</t>
        </is>
      </c>
      <c r="B6" t="inlineStr">
        <is>
          <t>U.S. Energy Information Administration historical data</t>
        </is>
      </c>
    </row>
    <row r="7">
      <c r="A7" t="inlineStr">
        <is>
          <t>• California Energy Commission</t>
        </is>
      </c>
      <c r="B7" t="inlineStr">
        <is>
          <t>Regional price monitoring</t>
        </is>
      </c>
    </row>
    <row r="8">
      <c r="A8" t="inlineStr"/>
      <c r="B8" t="inlineStr"/>
    </row>
    <row r="9">
      <c r="A9" s="16" t="inlineStr">
        <is>
          <t>EV CHARGING RATE SOURCES:</t>
        </is>
      </c>
      <c r="B9" t="inlineStr"/>
    </row>
    <row r="10">
      <c r="A10" t="inlineStr">
        <is>
          <t>• ChargePoint API</t>
        </is>
      </c>
      <c r="B10" t="inlineStr">
        <is>
          <t>Network-specific pricing</t>
        </is>
      </c>
    </row>
    <row r="11">
      <c r="A11" t="inlineStr">
        <is>
          <t>• PlugShare API</t>
        </is>
      </c>
      <c r="B11" t="inlineStr">
        <is>
          <t>Station locations and user-reported rates</t>
        </is>
      </c>
    </row>
    <row r="12">
      <c r="A12" t="inlineStr">
        <is>
          <t>• Utility Rate Databases</t>
        </is>
      </c>
      <c r="B12" t="inlineStr">
        <is>
          <t>PG&amp;E, SCE, SDG&amp;E, SMUD published tariffs</t>
        </is>
      </c>
    </row>
    <row r="13">
      <c r="A13" t="inlineStr">
        <is>
          <t>• Alternative Fuels Data Center</t>
        </is>
      </c>
      <c r="B13" t="inlineStr">
        <is>
          <t>Federal database of charging infrastructure</t>
        </is>
      </c>
    </row>
    <row r="14">
      <c r="A14" t="inlineStr"/>
      <c r="B14" t="inlineStr"/>
    </row>
    <row r="15">
      <c r="A15" s="16" t="inlineStr">
        <is>
          <t>METHODOLOGY NOTES:</t>
        </is>
      </c>
      <c r="B15" t="inlineStr"/>
    </row>
    <row r="16">
      <c r="A16" t="inlineStr">
        <is>
          <t>• Commercial TOU rates</t>
        </is>
      </c>
      <c r="B16" t="inlineStr">
        <is>
          <t>Based on actual utility commercial rate schedules (B20, TOU-8, AL-TOU)</t>
        </is>
      </c>
    </row>
    <row r="17">
      <c r="A17" t="inlineStr">
        <is>
          <t>• DC Fast Charging</t>
        </is>
      </c>
      <c r="B17" t="inlineStr">
        <is>
          <t>Rates include network-specific session fees and idle fees</t>
        </is>
      </c>
    </row>
    <row r="18">
      <c r="A18" t="inlineStr">
        <is>
          <t>• Private/Dealer Charging</t>
        </is>
      </c>
      <c r="B18" t="inlineStr">
        <is>
          <t>Assumes volume discount rates negotiated by syndicate</t>
        </is>
      </c>
    </row>
    <row r="19">
      <c r="A19" t="inlineStr">
        <is>
          <t>• Demand Charges</t>
        </is>
      </c>
      <c r="B19" t="inlineStr">
        <is>
          <t>Calculated based on peak kW usage during billing period</t>
        </is>
      </c>
    </row>
    <row r="20">
      <c r="A20" t="inlineStr">
        <is>
          <t>• Maintenance Costs</t>
        </is>
      </c>
      <c r="B20" t="inlineStr">
        <is>
          <t>Industry averages for heavy-duty haulers</t>
        </is>
      </c>
    </row>
    <row r="21">
      <c r="A21" t="inlineStr">
        <is>
          <t xml:space="preserve">  - Diesel: $0.05/mile</t>
        </is>
      </c>
      <c r="B21" t="inlineStr">
        <is>
          <t>Oil changes, filters, DEF, brake service, transmission</t>
        </is>
      </c>
    </row>
    <row r="22">
      <c r="A22" t="inlineStr">
        <is>
          <t xml:space="preserve">  - EV: $0.02/mile</t>
        </is>
      </c>
      <c r="B22" t="inlineStr">
        <is>
          <t>Brake pads (regenerative reduces wear), tire rotation, fluids</t>
        </is>
      </c>
    </row>
    <row r="23">
      <c r="A23" t="inlineStr">
        <is>
          <t>• Vehicle Efficiency</t>
        </is>
      </c>
      <c r="B23" t="inlineStr">
        <is>
          <t>Payload-adjusted consumption rates</t>
        </is>
      </c>
    </row>
    <row r="24">
      <c r="A24" t="inlineStr">
        <is>
          <t xml:space="preserve">  - Diesel: 8.1 MPG</t>
        </is>
      </c>
      <c r="B24" t="inlineStr">
        <is>
          <t>Ford F-550 loaded with 7-vehicle capacity</t>
        </is>
      </c>
    </row>
    <row r="25">
      <c r="A25" t="inlineStr">
        <is>
          <t xml:space="preserve">  - EV: 1.56 kWh/mi</t>
        </is>
      </c>
      <c r="B25" t="inlineStr">
        <is>
          <t>BrightDrop Zevo 600 loaded with 7-vehicle capacity</t>
        </is>
      </c>
    </row>
    <row r="26">
      <c r="A26" t="inlineStr"/>
      <c r="B26" t="inlineStr"/>
    </row>
    <row r="27">
      <c r="A27" s="16" t="inlineStr">
        <is>
          <t>CALCULATION ASSUMPTIONS:</t>
        </is>
      </c>
      <c r="B27" t="inlineStr"/>
    </row>
    <row r="28">
      <c r="A28" t="inlineStr">
        <is>
          <t>• Operating Days</t>
        </is>
      </c>
      <c r="B28" t="inlineStr">
        <is>
          <t>250 days/year (5 days/week, 50 weeks)</t>
        </is>
      </c>
    </row>
    <row r="29">
      <c r="A29" t="inlineStr">
        <is>
          <t>• Route Frequency</t>
        </is>
      </c>
      <c r="B29" t="inlineStr">
        <is>
          <t>Daily service on Sacramento-Modesto corridor</t>
        </is>
      </c>
    </row>
    <row r="30">
      <c r="A30" t="inlineStr">
        <is>
          <t>• Charging Strategy</t>
        </is>
      </c>
      <c r="B30" t="inlineStr">
        <is>
          <t>70% private Level 2 overnight, 30% public DC Fast</t>
        </is>
      </c>
    </row>
    <row r="31">
      <c r="A31" t="inlineStr">
        <is>
          <t>• Incentives</t>
        </is>
      </c>
      <c r="B31" t="inlineStr">
        <is>
          <t>Federal tax credit ($40k), CA HVIP rebate ($5k) for class 4-8 trucks</t>
        </is>
      </c>
    </row>
    <row r="32">
      <c r="A32" t="inlineStr">
        <is>
          <t>• Insurance Delta</t>
        </is>
      </c>
      <c r="B32" t="inlineStr">
        <is>
          <t>EV insurance ~7% lower due to lower fire risk, theft rates</t>
        </is>
      </c>
    </row>
    <row r="33">
      <c r="A33" t="inlineStr"/>
      <c r="B33" t="inlineStr"/>
    </row>
    <row r="34">
      <c r="A34" t="inlineStr">
        <is>
          <t>IMPORTANT DISCLAIMERS:</t>
        </is>
      </c>
      <c r="B34" t="inlineStr"/>
    </row>
    <row r="35">
      <c r="A35" t="inlineStr">
        <is>
          <t>• Prices are estimates</t>
        </is>
      </c>
      <c r="B35" t="inlineStr">
        <is>
          <t>Actual costs vary by specific route, time of day, season</t>
        </is>
      </c>
    </row>
    <row r="36">
      <c r="A36" s="16" t="inlineStr">
        <is>
          <t>• Incentives subject to change</t>
        </is>
      </c>
      <c r="B36" t="inlineStr">
        <is>
          <t>Tax credits and rebates have expiration dates and funding caps</t>
        </is>
      </c>
    </row>
    <row r="37">
      <c r="A37" t="inlineStr">
        <is>
          <t>• Range varies by conditions</t>
        </is>
      </c>
      <c r="B37" t="inlineStr">
        <is>
          <t>Temperature, terrain, driving style affect EV range</t>
        </is>
      </c>
    </row>
    <row r="38">
      <c r="A38" t="inlineStr">
        <is>
          <t>• Infrastructure gaps</t>
        </is>
      </c>
      <c r="B38" t="inlineStr">
        <is>
          <t>Some routes may have limited DC fast charging availability</t>
        </is>
      </c>
    </row>
    <row r="39">
      <c r="A39" t="inlineStr"/>
      <c r="B39" t="inlineStr"/>
    </row>
    <row r="40">
      <c r="A40" t="inlineStr">
        <is>
          <t>FOR QUESTIONS OR CUSTOM ANALYSIS:</t>
        </is>
      </c>
      <c r="B40" t="inlineStr"/>
    </row>
    <row r="41">
      <c r="A41" s="16" t="inlineStr">
        <is>
          <t>Contact: [Your Company Name]</t>
        </is>
      </c>
      <c r="B41" t="inlineStr"/>
    </row>
    <row r="42">
      <c r="A42" t="inlineStr">
        <is>
          <t>Email: [contact email]</t>
        </is>
      </c>
      <c r="B42" t="inlineStr"/>
    </row>
    <row r="43">
      <c r="A43" t="inlineStr">
        <is>
          <t>Website: [website]</t>
        </is>
      </c>
      <c r="B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2025-12-12T16:57:52Z</dcterms:created>
  <dcterms:modified xmlns:dcterms="http://purl.org/dc/terms/" xmlns:xsi="http://www.w3.org/2001/XMLSchema-instance" xsi:type="dcterms:W3CDTF">2025-12-12T16:57:52Z</dcterms:modified>
</cp:coreProperties>
</file>